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3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doc\Music\music\Para portifolio\SEED\"/>
    </mc:Choice>
  </mc:AlternateContent>
  <xr:revisionPtr revIDLastSave="0" documentId="13_ncr:1_{B1F97473-DE13-43E9-804D-E6AD353E2C91}" xr6:coauthVersionLast="47" xr6:coauthVersionMax="47" xr10:uidLastSave="{00000000-0000-0000-0000-000000000000}"/>
  <bookViews>
    <workbookView xWindow="-120" yWindow="-120" windowWidth="20730" windowHeight="11040" tabRatio="500" firstSheet="8" activeTab="11" xr2:uid="{00000000-000D-0000-FFFF-FFFF00000000}"/>
  </bookViews>
  <sheets>
    <sheet name="JUNHO 2025" sheetId="21" r:id="rId1"/>
    <sheet name="JULHO 2025" sheetId="22" r:id="rId2"/>
    <sheet name="AGOSTO 2025" sheetId="23" r:id="rId3"/>
    <sheet name="SETEMBRO 2025" sheetId="24" r:id="rId4"/>
    <sheet name="OUTUBRO 2025" sheetId="25" r:id="rId5"/>
    <sheet name="NOVEMBRO 2025" sheetId="26" r:id="rId6"/>
    <sheet name="DEZEMBRO 2025" sheetId="27" r:id="rId7"/>
    <sheet name="JANEIRO 2026" sheetId="28" r:id="rId8"/>
    <sheet name="FEVEREIRO 2026" sheetId="29" r:id="rId9"/>
    <sheet name="MARÇO 2026" sheetId="31" r:id="rId10"/>
    <sheet name="ABRIL 2026" sheetId="32" r:id="rId11"/>
    <sheet name="MAIO 2026" sheetId="3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9" i="33" l="1"/>
  <c r="E39" i="33"/>
  <c r="H39" i="33"/>
  <c r="I33" i="33"/>
  <c r="I34" i="33"/>
  <c r="I35" i="33"/>
  <c r="I36" i="33"/>
  <c r="I32" i="33"/>
  <c r="I26" i="33"/>
  <c r="I27" i="33"/>
  <c r="I28" i="33"/>
  <c r="I29" i="33"/>
  <c r="I25" i="33"/>
  <c r="I18" i="33"/>
  <c r="I11" i="33"/>
  <c r="I19" i="33"/>
  <c r="I12" i="33"/>
  <c r="I13" i="33"/>
  <c r="I14" i="33"/>
  <c r="I15" i="33"/>
  <c r="I21" i="33"/>
  <c r="I22" i="33"/>
  <c r="I20" i="33"/>
  <c r="I35" i="32"/>
  <c r="I36" i="32"/>
  <c r="I37" i="32"/>
  <c r="I34" i="32"/>
  <c r="I29" i="32"/>
  <c r="I30" i="32"/>
  <c r="I31" i="32"/>
  <c r="I21" i="32"/>
  <c r="I22" i="32"/>
  <c r="I23" i="32"/>
  <c r="I24" i="32"/>
  <c r="I20" i="32"/>
  <c r="I14" i="32"/>
  <c r="I15" i="32"/>
  <c r="I16" i="32"/>
  <c r="I17" i="32"/>
  <c r="I13" i="32"/>
  <c r="I8" i="32"/>
  <c r="H38" i="32"/>
  <c r="E38" i="32"/>
  <c r="I25" i="31"/>
  <c r="I23" i="31"/>
  <c r="I37" i="31"/>
  <c r="I38" i="31"/>
  <c r="B39" i="31"/>
  <c r="E39" i="31"/>
  <c r="H39" i="31"/>
  <c r="I34" i="31"/>
  <c r="I33" i="31"/>
  <c r="I32" i="31"/>
  <c r="I31" i="31"/>
  <c r="I30" i="31"/>
  <c r="I27" i="31"/>
  <c r="I26" i="31"/>
  <c r="I20" i="31"/>
  <c r="I19" i="31"/>
  <c r="I18" i="31"/>
  <c r="I17" i="31"/>
  <c r="I16" i="31"/>
  <c r="I13" i="31"/>
  <c r="I12" i="31"/>
  <c r="I11" i="31"/>
  <c r="I10" i="31"/>
  <c r="I9" i="31"/>
  <c r="H36" i="29"/>
  <c r="E36" i="29"/>
  <c r="B36" i="29"/>
  <c r="I31" i="29"/>
  <c r="I32" i="29"/>
  <c r="I33" i="29"/>
  <c r="I34" i="29"/>
  <c r="I26" i="29"/>
  <c r="I27" i="29"/>
  <c r="I20" i="29"/>
  <c r="I30" i="29"/>
  <c r="I17" i="29"/>
  <c r="I18" i="29"/>
  <c r="I19" i="29"/>
  <c r="I16" i="29"/>
  <c r="I10" i="29"/>
  <c r="I11" i="29"/>
  <c r="I12" i="29"/>
  <c r="I13" i="29"/>
  <c r="I9" i="29"/>
  <c r="K15" i="28"/>
  <c r="K14" i="28"/>
  <c r="K34" i="28"/>
  <c r="K35" i="28"/>
  <c r="K27" i="28"/>
  <c r="K28" i="28"/>
  <c r="K20" i="28"/>
  <c r="K21" i="28"/>
  <c r="K13" i="28"/>
  <c r="K12" i="28"/>
  <c r="H39" i="28"/>
  <c r="E39" i="28"/>
  <c r="K37" i="28"/>
  <c r="K39" i="28" s="1"/>
  <c r="K36" i="28"/>
  <c r="K33" i="28"/>
  <c r="K30" i="28"/>
  <c r="K29" i="28"/>
  <c r="K26" i="28"/>
  <c r="K23" i="28"/>
  <c r="K22" i="28"/>
  <c r="K19" i="28"/>
  <c r="K16" i="28"/>
  <c r="K9" i="28"/>
  <c r="H39" i="27"/>
  <c r="E39" i="27"/>
  <c r="B39" i="27"/>
  <c r="K37" i="27"/>
  <c r="K36" i="27"/>
  <c r="K39" i="27" s="1"/>
  <c r="K33" i="27"/>
  <c r="K30" i="27"/>
  <c r="K29" i="27"/>
  <c r="K26" i="27"/>
  <c r="K19" i="27"/>
  <c r="B16" i="27"/>
  <c r="E16" i="27"/>
  <c r="K16" i="27" s="1"/>
  <c r="K23" i="27"/>
  <c r="K22" i="27"/>
  <c r="K25" i="27"/>
  <c r="K24" i="27"/>
  <c r="K17" i="27"/>
  <c r="K18" i="27"/>
  <c r="K9" i="27"/>
  <c r="K10" i="27"/>
  <c r="K11" i="27"/>
  <c r="K8" i="27"/>
  <c r="H38" i="26"/>
  <c r="E38" i="26"/>
  <c r="B38" i="26"/>
  <c r="K32" i="26"/>
  <c r="K33" i="26"/>
  <c r="K34" i="26"/>
  <c r="K35" i="26"/>
  <c r="K31" i="26"/>
  <c r="K28" i="26"/>
  <c r="K25" i="26"/>
  <c r="K26" i="26"/>
  <c r="K24" i="26"/>
  <c r="K18" i="26"/>
  <c r="K19" i="26"/>
  <c r="K20" i="26"/>
  <c r="K21" i="26"/>
  <c r="K17" i="26"/>
  <c r="K11" i="26"/>
  <c r="K12" i="26"/>
  <c r="K13" i="26"/>
  <c r="K14" i="26"/>
  <c r="K10" i="26"/>
  <c r="H39" i="25"/>
  <c r="E39" i="25"/>
  <c r="K14" i="25"/>
  <c r="K15" i="25"/>
  <c r="K16" i="25"/>
  <c r="K17" i="25"/>
  <c r="K20" i="25"/>
  <c r="K21" i="25"/>
  <c r="K22" i="25"/>
  <c r="K23" i="25"/>
  <c r="K24" i="25"/>
  <c r="K27" i="25"/>
  <c r="K28" i="25"/>
  <c r="K29" i="25"/>
  <c r="K30" i="25"/>
  <c r="K31" i="25"/>
  <c r="B39" i="25"/>
  <c r="K35" i="25"/>
  <c r="K36" i="25"/>
  <c r="K37" i="25"/>
  <c r="K38" i="25"/>
  <c r="K9" i="25"/>
  <c r="K10" i="25"/>
  <c r="K13" i="25"/>
  <c r="K8" i="25"/>
  <c r="K37" i="24"/>
  <c r="K38" i="24" s="1"/>
  <c r="K36" i="24"/>
  <c r="K30" i="24"/>
  <c r="K31" i="24"/>
  <c r="K32" i="24"/>
  <c r="K33" i="24"/>
  <c r="K29" i="24"/>
  <c r="K23" i="24"/>
  <c r="K24" i="24"/>
  <c r="K25" i="24"/>
  <c r="K26" i="24"/>
  <c r="K22" i="24"/>
  <c r="K16" i="24"/>
  <c r="K17" i="24"/>
  <c r="K18" i="24"/>
  <c r="K19" i="24"/>
  <c r="K15" i="24"/>
  <c r="K9" i="24"/>
  <c r="K10" i="24"/>
  <c r="K11" i="24"/>
  <c r="K12" i="24"/>
  <c r="K8" i="24"/>
  <c r="H38" i="24"/>
  <c r="E38" i="24"/>
  <c r="B38" i="24"/>
  <c r="E39" i="23"/>
  <c r="K33" i="23"/>
  <c r="K34" i="23"/>
  <c r="K35" i="23"/>
  <c r="K36" i="23"/>
  <c r="K32" i="23"/>
  <c r="K26" i="23"/>
  <c r="K27" i="23"/>
  <c r="K28" i="23"/>
  <c r="K29" i="23"/>
  <c r="K25" i="23"/>
  <c r="K19" i="23"/>
  <c r="K20" i="23"/>
  <c r="K21" i="23"/>
  <c r="K22" i="23"/>
  <c r="K18" i="23"/>
  <c r="K12" i="23"/>
  <c r="K13" i="23"/>
  <c r="K14" i="23"/>
  <c r="K15" i="23"/>
  <c r="K11" i="23"/>
  <c r="K8" i="23"/>
  <c r="B39" i="23"/>
  <c r="H39" i="23"/>
  <c r="H18" i="22"/>
  <c r="H36" i="22"/>
  <c r="H37" i="22"/>
  <c r="H38" i="22"/>
  <c r="H35" i="22"/>
  <c r="H29" i="22"/>
  <c r="H30" i="22"/>
  <c r="H31" i="22"/>
  <c r="H32" i="22"/>
  <c r="H28" i="22"/>
  <c r="H22" i="22"/>
  <c r="H23" i="22"/>
  <c r="H24" i="22"/>
  <c r="H25" i="22"/>
  <c r="H21" i="22"/>
  <c r="H17" i="22"/>
  <c r="H16" i="22"/>
  <c r="H14" i="22"/>
  <c r="H10" i="22"/>
  <c r="H11" i="22"/>
  <c r="H9" i="22"/>
  <c r="H8" i="22"/>
  <c r="I39" i="33" l="1"/>
  <c r="I38" i="32"/>
  <c r="I39" i="31"/>
  <c r="I36" i="29"/>
  <c r="K38" i="26"/>
  <c r="K39" i="25"/>
  <c r="K39" i="23"/>
  <c r="B39" i="22"/>
  <c r="E39" i="22"/>
  <c r="H39" i="22"/>
  <c r="B29" i="21" l="1"/>
  <c r="E29" i="21"/>
  <c r="H16" i="21"/>
  <c r="H28" i="21"/>
  <c r="H23" i="21"/>
  <c r="H24" i="21"/>
  <c r="H25" i="21"/>
  <c r="H21" i="21"/>
  <c r="H15" i="21"/>
  <c r="H18" i="21"/>
  <c r="H14" i="21"/>
  <c r="H8" i="21"/>
  <c r="H9" i="21"/>
  <c r="H10" i="21"/>
  <c r="H11" i="21"/>
  <c r="H29" i="21" l="1"/>
  <c r="B39" i="28"/>
  <c r="B38" i="32"/>
</calcChain>
</file>

<file path=xl/sharedStrings.xml><?xml version="1.0" encoding="utf-8"?>
<sst xmlns="http://schemas.openxmlformats.org/spreadsheetml/2006/main" count="228" uniqueCount="24">
  <si>
    <t>DATA</t>
  </si>
  <si>
    <t>SÁBADO</t>
  </si>
  <si>
    <t>DOMINGO</t>
  </si>
  <si>
    <t>PRODUTIVIDADE - DIGITALIZAÇÃO</t>
  </si>
  <si>
    <t>TOTAL DIARIO</t>
  </si>
  <si>
    <t>TOTAL</t>
  </si>
  <si>
    <t>SEDUC</t>
  </si>
  <si>
    <t>FERNANDO A TARDE</t>
  </si>
  <si>
    <t>FERIADO</t>
  </si>
  <si>
    <t>RETIRADA DAF</t>
  </si>
  <si>
    <t>SCANNER QUEBRADO</t>
  </si>
  <si>
    <t>PONTO FACULTATIVO</t>
  </si>
  <si>
    <t>CONFRATERNIZAÇÃO</t>
  </si>
  <si>
    <t>ivo/brenno</t>
  </si>
  <si>
    <t>Diego Vinicius/Brenno</t>
  </si>
  <si>
    <t>heber 7077 + 2000</t>
  </si>
  <si>
    <t>DARLON</t>
  </si>
  <si>
    <t>ARCHIE</t>
  </si>
  <si>
    <t>HARVEY</t>
  </si>
  <si>
    <t>OLIVER</t>
  </si>
  <si>
    <t>BARRET</t>
  </si>
  <si>
    <t>BRISTOL</t>
  </si>
  <si>
    <t>MARLOW</t>
  </si>
  <si>
    <t>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</si>
</sst>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20"/>
      <color theme="1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8" Type="http://schemas.microsoft.com/office/2017/10/relationships/person" Target="persons/person2.xml"/><Relationship Id="rId10" Type="http://schemas.openxmlformats.org/officeDocument/2006/relationships/worksheet" Target="worksheets/sheet10.xml"/><Relationship Id="rId31" Type="http://schemas.microsoft.com/office/2017/10/relationships/person" Target="persons/pers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7" Type="http://schemas.microsoft.com/office/2017/10/relationships/person" Target="persons/person3.xml"/><Relationship Id="rId30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509889</xdr:colOff>
      <xdr:row>0</xdr:row>
      <xdr:rowOff>0</xdr:rowOff>
    </xdr:from>
    <xdr:to>
      <xdr:col>2</xdr:col>
      <xdr:colOff>93159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EAECFC-0B71-460F-BCD1-1FEABCBAD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889" y="0"/>
          <a:ext cx="810937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509889</xdr:colOff>
      <xdr:row>0</xdr:row>
      <xdr:rowOff>0</xdr:rowOff>
    </xdr:from>
    <xdr:to>
      <xdr:col>2</xdr:col>
      <xdr:colOff>93159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FFD78D-8F9E-4448-9CC7-D232B1999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889" y="0"/>
          <a:ext cx="802470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509889</xdr:colOff>
      <xdr:row>0</xdr:row>
      <xdr:rowOff>0</xdr:rowOff>
    </xdr:from>
    <xdr:to>
      <xdr:col>2</xdr:col>
      <xdr:colOff>93159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EAE3F-00F2-44FD-92CD-9CFCAE67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889" y="0"/>
          <a:ext cx="802470" cy="685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509889</xdr:colOff>
      <xdr:row>0</xdr:row>
      <xdr:rowOff>0</xdr:rowOff>
    </xdr:from>
    <xdr:to>
      <xdr:col>2</xdr:col>
      <xdr:colOff>93159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9C45AF-E092-4EB5-B304-679E9861C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889" y="0"/>
          <a:ext cx="802470" cy="685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157464</xdr:colOff>
      <xdr:row>0</xdr:row>
      <xdr:rowOff>0</xdr:rowOff>
    </xdr:from>
    <xdr:to>
      <xdr:col>2</xdr:col>
      <xdr:colOff>350334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8A70AF-A319-49F1-A5B9-26E0F618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64" y="0"/>
          <a:ext cx="802470" cy="7334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157464</xdr:colOff>
      <xdr:row>0</xdr:row>
      <xdr:rowOff>0</xdr:rowOff>
    </xdr:from>
    <xdr:to>
      <xdr:col>2</xdr:col>
      <xdr:colOff>350334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29B551-8A41-48F8-A072-22627DA4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64" y="0"/>
          <a:ext cx="802470" cy="733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157464</xdr:colOff>
      <xdr:row>0</xdr:row>
      <xdr:rowOff>0</xdr:rowOff>
    </xdr:from>
    <xdr:to>
      <xdr:col>2</xdr:col>
      <xdr:colOff>350334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F92DF5-B4C6-4166-BD93-5E632FBE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64" y="0"/>
          <a:ext cx="802470" cy="733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157464</xdr:colOff>
      <xdr:row>0</xdr:row>
      <xdr:rowOff>0</xdr:rowOff>
    </xdr:from>
    <xdr:to>
      <xdr:col>2</xdr:col>
      <xdr:colOff>350334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D64097-D103-4A7E-B97A-6DEA7D46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64" y="0"/>
          <a:ext cx="802470" cy="7334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24114</xdr:colOff>
      <xdr:row>0</xdr:row>
      <xdr:rowOff>0</xdr:rowOff>
    </xdr:from>
    <xdr:to>
      <xdr:col>1</xdr:col>
      <xdr:colOff>216984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2F3570-AEEB-4815-B4E9-AA2BFF549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14" y="0"/>
          <a:ext cx="802470" cy="7334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300339</xdr:colOff>
      <xdr:row>0</xdr:row>
      <xdr:rowOff>0</xdr:rowOff>
    </xdr:from>
    <xdr:to>
      <xdr:col>1</xdr:col>
      <xdr:colOff>493209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BF9465-56A4-4785-9BB2-05A751026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339" y="0"/>
          <a:ext cx="802470" cy="7334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300339</xdr:colOff>
      <xdr:row>0</xdr:row>
      <xdr:rowOff>0</xdr:rowOff>
    </xdr:from>
    <xdr:to>
      <xdr:col>1</xdr:col>
      <xdr:colOff>493209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78F08B-46D4-40CE-AE49-B9D8F15B3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339" y="0"/>
          <a:ext cx="802470" cy="7334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300339</xdr:colOff>
      <xdr:row>0</xdr:row>
      <xdr:rowOff>0</xdr:rowOff>
    </xdr:from>
    <xdr:to>
      <xdr:col>1</xdr:col>
      <xdr:colOff>493209</xdr:colOff>
      <xdr:row>3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06260A-ACB7-49F1-B735-E7DACB4A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339" y="0"/>
          <a:ext cx="802470" cy="7334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419E-1C50-43CA-B396-D3AAA1B2E434}">
  <dimension ref="A1:J29"/>
  <sheetViews>
    <sheetView zoomScale="90" zoomScaleNormal="90" workbookViewId="0">
      <selection activeCell="E8" sqref="E8:G8"/>
    </sheetView>
  </sheetViews>
  <sheetFormatPr defaultRowHeight="15" x14ac:dyDescent="0.25"/>
  <cols>
    <col min="1" max="6" width="9.140625" style="1"/>
    <col min="7" max="7" width="14.140625" style="1" customWidth="1"/>
    <col min="8" max="8" width="35.7109375" style="1" customWidth="1"/>
    <col min="9" max="9" width="19.140625" style="1" bestFit="1" customWidth="1"/>
    <col min="10" max="16384" width="9.140625" style="1"/>
  </cols>
  <sheetData>
    <row r="1" spans="1:10" x14ac:dyDescent="0.25">
      <c r="A1" s="18" t="s">
        <v>3</v>
      </c>
      <c r="B1" s="18"/>
      <c r="C1" s="18"/>
      <c r="D1" s="18"/>
      <c r="E1" s="18"/>
      <c r="F1" s="18"/>
      <c r="G1" s="18"/>
      <c r="H1" s="18"/>
    </row>
    <row r="2" spans="1:10" x14ac:dyDescent="0.25">
      <c r="A2" s="18"/>
      <c r="B2" s="18"/>
      <c r="C2" s="18"/>
      <c r="D2" s="18"/>
      <c r="E2" s="18"/>
      <c r="F2" s="18"/>
      <c r="G2" s="18"/>
      <c r="H2" s="18"/>
    </row>
    <row r="3" spans="1:10" x14ac:dyDescent="0.25">
      <c r="A3" s="18"/>
      <c r="B3" s="18"/>
      <c r="C3" s="18"/>
      <c r="D3" s="18"/>
      <c r="E3" s="18"/>
      <c r="F3" s="18"/>
      <c r="G3" s="18"/>
      <c r="H3" s="18"/>
    </row>
    <row r="4" spans="1:10" x14ac:dyDescent="0.25">
      <c r="A4" s="18"/>
      <c r="B4" s="18"/>
      <c r="C4" s="18"/>
      <c r="D4" s="18"/>
      <c r="E4" s="18"/>
      <c r="F4" s="18"/>
      <c r="G4" s="18"/>
      <c r="H4" s="18"/>
    </row>
    <row r="5" spans="1:10" ht="26.25" x14ac:dyDescent="0.25">
      <c r="A5" s="18" t="s">
        <v>6</v>
      </c>
      <c r="B5" s="18"/>
      <c r="C5" s="18"/>
      <c r="D5" s="18"/>
      <c r="E5" s="18"/>
      <c r="F5" s="18"/>
      <c r="G5" s="18"/>
      <c r="H5" s="18"/>
    </row>
    <row r="6" spans="1:10" ht="17.25" customHeight="1" x14ac:dyDescent="0.25">
      <c r="A6" s="19" t="s">
        <v>0</v>
      </c>
      <c r="B6" s="20" t="s">
        <v>16</v>
      </c>
      <c r="C6" s="20"/>
      <c r="D6" s="20"/>
      <c r="E6" s="20" t="s">
        <v>18</v>
      </c>
      <c r="F6" s="20"/>
      <c r="G6" s="20"/>
      <c r="H6" s="21" t="s">
        <v>4</v>
      </c>
    </row>
    <row r="7" spans="1:10" ht="17.25" customHeight="1" x14ac:dyDescent="0.25">
      <c r="A7" s="19"/>
      <c r="B7" s="20"/>
      <c r="C7" s="20"/>
      <c r="D7" s="20"/>
      <c r="E7" s="20"/>
      <c r="F7" s="20"/>
      <c r="G7" s="20"/>
      <c r="H7" s="21"/>
    </row>
    <row r="8" spans="1:10" x14ac:dyDescent="0.25">
      <c r="A8" s="2">
        <v>45818</v>
      </c>
      <c r="B8" s="11">
        <v>20170</v>
      </c>
      <c r="C8" s="11"/>
      <c r="D8" s="11"/>
      <c r="E8" s="11">
        <v>9212</v>
      </c>
      <c r="F8" s="11"/>
      <c r="G8" s="11"/>
      <c r="H8" s="4">
        <f>SUM(B8,E8)</f>
        <v>29382</v>
      </c>
    </row>
    <row r="9" spans="1:10" x14ac:dyDescent="0.25">
      <c r="A9" s="2">
        <v>45819</v>
      </c>
      <c r="B9" s="11">
        <v>16391</v>
      </c>
      <c r="C9" s="11"/>
      <c r="D9" s="11"/>
      <c r="E9" s="11">
        <v>5673</v>
      </c>
      <c r="F9" s="11"/>
      <c r="G9" s="11"/>
      <c r="H9" s="4">
        <f>SUM(B9,E9)</f>
        <v>22064</v>
      </c>
    </row>
    <row r="10" spans="1:10" x14ac:dyDescent="0.25">
      <c r="A10" s="2">
        <v>45820</v>
      </c>
      <c r="B10" s="11">
        <v>16892</v>
      </c>
      <c r="C10" s="11"/>
      <c r="D10" s="11"/>
      <c r="E10" s="11"/>
      <c r="F10" s="11"/>
      <c r="G10" s="11"/>
      <c r="H10" s="4">
        <f>SUM(B10,E10)</f>
        <v>16892</v>
      </c>
    </row>
    <row r="11" spans="1:10" x14ac:dyDescent="0.25">
      <c r="A11" s="2">
        <v>45821</v>
      </c>
      <c r="B11" s="11">
        <v>14052</v>
      </c>
      <c r="C11" s="11"/>
      <c r="D11" s="11"/>
      <c r="E11" s="11">
        <v>5607</v>
      </c>
      <c r="F11" s="11"/>
      <c r="G11" s="11"/>
      <c r="H11" s="4">
        <f>SUM(B11,E11)</f>
        <v>19659</v>
      </c>
    </row>
    <row r="12" spans="1:10" x14ac:dyDescent="0.25">
      <c r="A12" s="2">
        <v>45822</v>
      </c>
      <c r="B12" s="11" t="s">
        <v>1</v>
      </c>
      <c r="C12" s="11"/>
      <c r="D12" s="11"/>
      <c r="E12" s="11"/>
      <c r="F12" s="11"/>
      <c r="G12" s="11"/>
      <c r="H12" s="11"/>
      <c r="I12" s="16"/>
      <c r="J12" s="16"/>
    </row>
    <row r="13" spans="1:10" x14ac:dyDescent="0.25">
      <c r="A13" s="2">
        <v>45823</v>
      </c>
      <c r="B13" s="11" t="s">
        <v>2</v>
      </c>
      <c r="C13" s="11"/>
      <c r="D13" s="11"/>
      <c r="E13" s="11"/>
      <c r="F13" s="11"/>
      <c r="G13" s="11"/>
      <c r="H13" s="11"/>
      <c r="I13" s="3"/>
    </row>
    <row r="14" spans="1:10" x14ac:dyDescent="0.25">
      <c r="A14" s="2">
        <v>45824</v>
      </c>
      <c r="B14" s="11">
        <v>15807</v>
      </c>
      <c r="C14" s="11"/>
      <c r="D14" s="11"/>
      <c r="E14" s="11"/>
      <c r="F14" s="11"/>
      <c r="G14" s="11"/>
      <c r="H14" s="4">
        <f>SUM(B14,E14)</f>
        <v>15807</v>
      </c>
      <c r="I14" s="1" t="s">
        <v>7</v>
      </c>
    </row>
    <row r="15" spans="1:10" x14ac:dyDescent="0.25">
      <c r="A15" s="2">
        <v>45825</v>
      </c>
      <c r="B15" s="11">
        <v>19807</v>
      </c>
      <c r="C15" s="11"/>
      <c r="D15" s="11"/>
      <c r="E15" s="11"/>
      <c r="F15" s="11"/>
      <c r="G15" s="11"/>
      <c r="H15" s="4">
        <f t="shared" ref="H15:H18" si="0">SUM(B15,E15)</f>
        <v>19807</v>
      </c>
    </row>
    <row r="16" spans="1:10" x14ac:dyDescent="0.25">
      <c r="A16" s="2">
        <v>45826</v>
      </c>
      <c r="B16" s="11">
        <v>1913</v>
      </c>
      <c r="C16" s="11"/>
      <c r="D16" s="11"/>
      <c r="E16" s="11">
        <v>5680</v>
      </c>
      <c r="F16" s="11"/>
      <c r="G16" s="11"/>
      <c r="H16" s="4">
        <f t="shared" si="0"/>
        <v>7593</v>
      </c>
    </row>
    <row r="17" spans="1:8" x14ac:dyDescent="0.25">
      <c r="A17" s="2">
        <v>45827</v>
      </c>
      <c r="B17" s="12" t="s">
        <v>8</v>
      </c>
      <c r="C17" s="13"/>
      <c r="D17" s="13"/>
      <c r="E17" s="13"/>
      <c r="F17" s="13"/>
      <c r="G17" s="13"/>
      <c r="H17" s="14"/>
    </row>
    <row r="18" spans="1:8" x14ac:dyDescent="0.25">
      <c r="A18" s="2">
        <v>45828</v>
      </c>
      <c r="B18" s="11">
        <v>1718</v>
      </c>
      <c r="C18" s="11"/>
      <c r="D18" s="11"/>
      <c r="E18" s="11"/>
      <c r="F18" s="11"/>
      <c r="G18" s="11"/>
      <c r="H18" s="4">
        <f t="shared" si="0"/>
        <v>1718</v>
      </c>
    </row>
    <row r="19" spans="1:8" x14ac:dyDescent="0.25">
      <c r="A19" s="2">
        <v>45829</v>
      </c>
      <c r="B19" s="11" t="s">
        <v>1</v>
      </c>
      <c r="C19" s="11"/>
      <c r="D19" s="11"/>
      <c r="E19" s="11"/>
      <c r="F19" s="11"/>
      <c r="G19" s="11"/>
      <c r="H19" s="11"/>
    </row>
    <row r="20" spans="1:8" x14ac:dyDescent="0.25">
      <c r="A20" s="2">
        <v>45830</v>
      </c>
      <c r="B20" s="11" t="s">
        <v>2</v>
      </c>
      <c r="C20" s="11"/>
      <c r="D20" s="11"/>
      <c r="E20" s="11"/>
      <c r="F20" s="11"/>
      <c r="G20" s="11"/>
      <c r="H20" s="11"/>
    </row>
    <row r="21" spans="1:8" x14ac:dyDescent="0.25">
      <c r="A21" s="2">
        <v>45831</v>
      </c>
      <c r="B21" s="11"/>
      <c r="C21" s="11"/>
      <c r="D21" s="11"/>
      <c r="E21" s="11">
        <v>1357</v>
      </c>
      <c r="F21" s="11"/>
      <c r="G21" s="11"/>
      <c r="H21" s="4">
        <f>SUM(B21:G21)</f>
        <v>1357</v>
      </c>
    </row>
    <row r="22" spans="1:8" x14ac:dyDescent="0.25">
      <c r="A22" s="2">
        <v>45832</v>
      </c>
      <c r="B22" s="12" t="s">
        <v>8</v>
      </c>
      <c r="C22" s="13"/>
      <c r="D22" s="13"/>
      <c r="E22" s="13"/>
      <c r="F22" s="13"/>
      <c r="G22" s="13"/>
      <c r="H22" s="14"/>
    </row>
    <row r="23" spans="1:8" x14ac:dyDescent="0.25">
      <c r="A23" s="2">
        <v>45833</v>
      </c>
      <c r="B23" s="11">
        <v>14606</v>
      </c>
      <c r="C23" s="11"/>
      <c r="D23" s="11"/>
      <c r="E23" s="11">
        <v>2798</v>
      </c>
      <c r="F23" s="11"/>
      <c r="G23" s="11"/>
      <c r="H23" s="4">
        <f t="shared" ref="H23:H25" si="1">SUM(B23:G23)</f>
        <v>17404</v>
      </c>
    </row>
    <row r="24" spans="1:8" x14ac:dyDescent="0.25">
      <c r="A24" s="2">
        <v>45834</v>
      </c>
      <c r="B24" s="11">
        <v>14666</v>
      </c>
      <c r="C24" s="11"/>
      <c r="D24" s="11"/>
      <c r="E24" s="11">
        <v>7492</v>
      </c>
      <c r="F24" s="11"/>
      <c r="G24" s="11"/>
      <c r="H24" s="4">
        <f t="shared" si="1"/>
        <v>22158</v>
      </c>
    </row>
    <row r="25" spans="1:8" x14ac:dyDescent="0.25">
      <c r="A25" s="2">
        <v>45835</v>
      </c>
      <c r="B25" s="11">
        <v>11235</v>
      </c>
      <c r="C25" s="11"/>
      <c r="D25" s="11"/>
      <c r="E25" s="11">
        <v>12999</v>
      </c>
      <c r="F25" s="11"/>
      <c r="G25" s="11"/>
      <c r="H25" s="4">
        <f t="shared" si="1"/>
        <v>24234</v>
      </c>
    </row>
    <row r="26" spans="1:8" x14ac:dyDescent="0.25">
      <c r="A26" s="2">
        <v>45836</v>
      </c>
      <c r="B26" s="11" t="s">
        <v>1</v>
      </c>
      <c r="C26" s="11"/>
      <c r="D26" s="11"/>
      <c r="E26" s="11"/>
      <c r="F26" s="11"/>
      <c r="G26" s="11"/>
      <c r="H26" s="11"/>
    </row>
    <row r="27" spans="1:8" x14ac:dyDescent="0.25">
      <c r="A27" s="2">
        <v>45837</v>
      </c>
      <c r="B27" s="11" t="s">
        <v>2</v>
      </c>
      <c r="C27" s="11"/>
      <c r="D27" s="11"/>
      <c r="E27" s="11"/>
      <c r="F27" s="11"/>
      <c r="G27" s="11"/>
      <c r="H27" s="11"/>
    </row>
    <row r="28" spans="1:8" x14ac:dyDescent="0.25">
      <c r="A28" s="6">
        <v>45838</v>
      </c>
      <c r="B28" s="17">
        <v>15982</v>
      </c>
      <c r="C28" s="17"/>
      <c r="D28" s="17"/>
      <c r="E28" s="17">
        <v>5046</v>
      </c>
      <c r="F28" s="17"/>
      <c r="G28" s="17"/>
      <c r="H28" s="5">
        <f>SUM(B28:G28)</f>
        <v>21028</v>
      </c>
    </row>
    <row r="29" spans="1:8" x14ac:dyDescent="0.25">
      <c r="A29" s="7" t="s">
        <v>5</v>
      </c>
      <c r="B29" s="15">
        <f>SUM(B8:D11,B14:D16,B18,B21,B23,B24,B25,B28)</f>
        <v>163239</v>
      </c>
      <c r="C29" s="15"/>
      <c r="D29" s="15"/>
      <c r="E29" s="15">
        <f>SUM(E8:G11,E14:G18,E21:G25,E28)</f>
        <v>55864</v>
      </c>
      <c r="F29" s="15"/>
      <c r="G29" s="15"/>
      <c r="H29" s="8">
        <f>SUM(H8:H11,H14:H16,H18,H21,H23:H25,H28)</f>
        <v>219103</v>
      </c>
    </row>
  </sheetData>
  <mergeCells count="43">
    <mergeCell ref="B14:D14"/>
    <mergeCell ref="E14:G14"/>
    <mergeCell ref="B15:D15"/>
    <mergeCell ref="E15:G15"/>
    <mergeCell ref="A1:H4"/>
    <mergeCell ref="A5:H5"/>
    <mergeCell ref="A6:A7"/>
    <mergeCell ref="B6:D7"/>
    <mergeCell ref="E6:G7"/>
    <mergeCell ref="H6:H7"/>
    <mergeCell ref="B29:D29"/>
    <mergeCell ref="E29:G29"/>
    <mergeCell ref="I12:J12"/>
    <mergeCell ref="B8:D8"/>
    <mergeCell ref="B10:D10"/>
    <mergeCell ref="E10:G10"/>
    <mergeCell ref="B12:H12"/>
    <mergeCell ref="E8:G8"/>
    <mergeCell ref="B9:D9"/>
    <mergeCell ref="E11:G11"/>
    <mergeCell ref="B11:D11"/>
    <mergeCell ref="E9:G9"/>
    <mergeCell ref="B13:H13"/>
    <mergeCell ref="B28:D28"/>
    <mergeCell ref="E28:G28"/>
    <mergeCell ref="B25:D25"/>
    <mergeCell ref="E25:G25"/>
    <mergeCell ref="B26:H26"/>
    <mergeCell ref="B27:H27"/>
    <mergeCell ref="B24:D24"/>
    <mergeCell ref="E24:G24"/>
    <mergeCell ref="B23:D23"/>
    <mergeCell ref="E23:G23"/>
    <mergeCell ref="B16:D16"/>
    <mergeCell ref="E16:G16"/>
    <mergeCell ref="B19:H19"/>
    <mergeCell ref="B18:D18"/>
    <mergeCell ref="E18:G18"/>
    <mergeCell ref="B20:H20"/>
    <mergeCell ref="B21:D21"/>
    <mergeCell ref="E21:G21"/>
    <mergeCell ref="B17:H17"/>
    <mergeCell ref="B22:H2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6792-BAE0-40A1-BADD-9E4446EF17B5}">
  <dimension ref="A1:J39"/>
  <sheetViews>
    <sheetView workbookViewId="0">
      <selection activeCell="E8" sqref="E8:G8"/>
    </sheetView>
  </sheetViews>
  <sheetFormatPr defaultRowHeight="15" x14ac:dyDescent="0.25"/>
  <cols>
    <col min="1" max="6" width="9.140625" style="1"/>
    <col min="7" max="7" width="14.140625" style="1" customWidth="1"/>
    <col min="8" max="8" width="35.7109375" style="1" customWidth="1"/>
    <col min="9" max="9" width="19.140625" style="1" bestFit="1" customWidth="1"/>
    <col min="10" max="16384" width="9.140625" style="1"/>
  </cols>
  <sheetData>
    <row r="1" spans="1:10" x14ac:dyDescent="0.25">
      <c r="A1" s="18" t="s">
        <v>3</v>
      </c>
      <c r="B1" s="18"/>
      <c r="C1" s="18"/>
      <c r="D1" s="18"/>
      <c r="E1" s="18"/>
      <c r="F1" s="18"/>
      <c r="G1" s="18"/>
      <c r="H1" s="18"/>
    </row>
    <row r="2" spans="1:10" x14ac:dyDescent="0.25">
      <c r="A2" s="18"/>
      <c r="B2" s="18"/>
      <c r="C2" s="18"/>
      <c r="D2" s="18"/>
      <c r="E2" s="18"/>
      <c r="F2" s="18"/>
      <c r="G2" s="18"/>
      <c r="H2" s="18"/>
    </row>
    <row r="3" spans="1:10" x14ac:dyDescent="0.25">
      <c r="A3" s="18"/>
      <c r="B3" s="18"/>
      <c r="C3" s="18"/>
      <c r="D3" s="18"/>
      <c r="E3" s="18"/>
      <c r="F3" s="18"/>
      <c r="G3" s="18"/>
      <c r="H3" s="18"/>
    </row>
    <row r="4" spans="1:10" x14ac:dyDescent="0.25">
      <c r="A4" s="18"/>
      <c r="B4" s="18"/>
      <c r="C4" s="18"/>
      <c r="D4" s="18"/>
      <c r="E4" s="18"/>
      <c r="F4" s="18"/>
      <c r="G4" s="18"/>
      <c r="H4" s="18"/>
    </row>
    <row r="5" spans="1:10" ht="26.25" x14ac:dyDescent="0.25">
      <c r="A5" s="18" t="s">
        <v>6</v>
      </c>
      <c r="B5" s="18"/>
      <c r="C5" s="18"/>
      <c r="D5" s="18"/>
      <c r="E5" s="18"/>
      <c r="F5" s="18"/>
      <c r="G5" s="18"/>
      <c r="H5" s="18"/>
    </row>
    <row r="6" spans="1:10" ht="17.25" customHeight="1" x14ac:dyDescent="0.25">
      <c r="A6" s="19" t="s">
        <v>0</v>
      </c>
      <c r="B6" s="20" t="s">
        <v>16</v>
      </c>
      <c r="C6" s="20"/>
      <c r="D6" s="20"/>
      <c r="E6" s="20" t="s">
        <v>20</v>
      </c>
      <c r="F6" s="20"/>
      <c r="G6" s="20"/>
      <c r="H6" s="21" t="s">
        <v>4</v>
      </c>
    </row>
    <row r="7" spans="1:10" ht="17.25" customHeight="1" x14ac:dyDescent="0.25">
      <c r="A7" s="19"/>
      <c r="B7" s="20"/>
      <c r="C7" s="20"/>
      <c r="D7" s="20"/>
      <c r="E7" s="20"/>
      <c r="F7" s="20"/>
      <c r="G7" s="20"/>
      <c r="H7" s="21"/>
    </row>
    <row r="8" spans="1:10" x14ac:dyDescent="0.25">
      <c r="A8" s="2">
        <v>45839</v>
      </c>
      <c r="B8" s="11">
        <v>10585</v>
      </c>
      <c r="C8" s="11"/>
      <c r="D8" s="11"/>
      <c r="E8" s="11">
        <v>12133</v>
      </c>
      <c r="F8" s="11"/>
      <c r="G8" s="11"/>
      <c r="H8" s="4">
        <f>SUM(B8,E8)</f>
        <v>22718</v>
      </c>
    </row>
    <row r="9" spans="1:10" x14ac:dyDescent="0.25">
      <c r="A9" s="2">
        <v>45840</v>
      </c>
      <c r="B9" s="11">
        <v>3502</v>
      </c>
      <c r="C9" s="11"/>
      <c r="D9" s="11"/>
      <c r="E9" s="11">
        <v>8568</v>
      </c>
      <c r="F9" s="11"/>
      <c r="G9" s="11"/>
      <c r="H9" s="4">
        <f>SUM(B9,E9)</f>
        <v>12070</v>
      </c>
    </row>
    <row r="10" spans="1:10" x14ac:dyDescent="0.25">
      <c r="A10" s="2">
        <v>45841</v>
      </c>
      <c r="B10" s="11">
        <v>11747</v>
      </c>
      <c r="C10" s="11"/>
      <c r="D10" s="11"/>
      <c r="E10" s="11">
        <v>6014</v>
      </c>
      <c r="F10" s="11"/>
      <c r="G10" s="11"/>
      <c r="H10" s="4">
        <f t="shared" ref="H10:H11" si="0">SUM(B10,E10)</f>
        <v>17761</v>
      </c>
    </row>
    <row r="11" spans="1:10" x14ac:dyDescent="0.25">
      <c r="A11" s="2">
        <v>45842</v>
      </c>
      <c r="B11" s="11">
        <v>11889</v>
      </c>
      <c r="C11" s="11"/>
      <c r="D11" s="11"/>
      <c r="E11" s="11">
        <v>6123</v>
      </c>
      <c r="F11" s="11"/>
      <c r="G11" s="11"/>
      <c r="H11" s="4">
        <f t="shared" si="0"/>
        <v>18012</v>
      </c>
    </row>
    <row r="12" spans="1:10" x14ac:dyDescent="0.25">
      <c r="A12" s="2">
        <v>45843</v>
      </c>
      <c r="B12" s="12" t="s">
        <v>1</v>
      </c>
      <c r="C12" s="13"/>
      <c r="D12" s="13"/>
      <c r="E12" s="13"/>
      <c r="F12" s="13"/>
      <c r="G12" s="13"/>
      <c r="H12" s="14"/>
      <c r="I12" s="16"/>
      <c r="J12" s="16"/>
    </row>
    <row r="13" spans="1:10" x14ac:dyDescent="0.25">
      <c r="A13" s="2">
        <v>45844</v>
      </c>
      <c r="B13" s="12" t="s">
        <v>2</v>
      </c>
      <c r="C13" s="13"/>
      <c r="D13" s="13"/>
      <c r="E13" s="13"/>
      <c r="F13" s="13"/>
      <c r="G13" s="13"/>
      <c r="H13" s="14"/>
      <c r="I13" s="3"/>
    </row>
    <row r="14" spans="1:10" x14ac:dyDescent="0.25">
      <c r="A14" s="2">
        <v>45845</v>
      </c>
      <c r="B14" s="11">
        <v>17516</v>
      </c>
      <c r="C14" s="11"/>
      <c r="D14" s="11"/>
      <c r="E14" s="11">
        <v>7120</v>
      </c>
      <c r="F14" s="11"/>
      <c r="G14" s="11"/>
      <c r="H14" s="4">
        <f>SUM(B14,E14)</f>
        <v>24636</v>
      </c>
    </row>
    <row r="15" spans="1:10" x14ac:dyDescent="0.25">
      <c r="A15" s="2">
        <v>45846</v>
      </c>
      <c r="B15" s="12" t="s">
        <v>8</v>
      </c>
      <c r="C15" s="13"/>
      <c r="D15" s="13"/>
      <c r="E15" s="13"/>
      <c r="F15" s="13"/>
      <c r="G15" s="13"/>
      <c r="H15" s="14"/>
    </row>
    <row r="16" spans="1:10" x14ac:dyDescent="0.25">
      <c r="A16" s="2">
        <v>45847</v>
      </c>
      <c r="B16" s="11">
        <v>20439</v>
      </c>
      <c r="C16" s="11"/>
      <c r="D16" s="11"/>
      <c r="E16" s="11">
        <v>5329</v>
      </c>
      <c r="F16" s="11"/>
      <c r="G16" s="11"/>
      <c r="H16" s="4">
        <f>SUM(B16,E16)</f>
        <v>25768</v>
      </c>
    </row>
    <row r="17" spans="1:8" x14ac:dyDescent="0.25">
      <c r="A17" s="2">
        <v>45848</v>
      </c>
      <c r="B17" s="11">
        <v>9268</v>
      </c>
      <c r="C17" s="11"/>
      <c r="D17" s="11"/>
      <c r="E17" s="11">
        <v>8374</v>
      </c>
      <c r="F17" s="11"/>
      <c r="G17" s="11"/>
      <c r="H17" s="4">
        <f t="shared" ref="H17" si="1">SUM(B17,E17)</f>
        <v>17642</v>
      </c>
    </row>
    <row r="18" spans="1:8" x14ac:dyDescent="0.25">
      <c r="A18" s="2">
        <v>45849</v>
      </c>
      <c r="B18" s="11">
        <v>7845</v>
      </c>
      <c r="C18" s="11"/>
      <c r="D18" s="11"/>
      <c r="E18" s="11">
        <v>5585</v>
      </c>
      <c r="F18" s="11"/>
      <c r="G18" s="11"/>
      <c r="H18" s="4">
        <f>SUM(B18,E18)</f>
        <v>13430</v>
      </c>
    </row>
    <row r="19" spans="1:8" x14ac:dyDescent="0.25">
      <c r="A19" s="2">
        <v>45850</v>
      </c>
      <c r="B19" s="12" t="s">
        <v>1</v>
      </c>
      <c r="C19" s="13"/>
      <c r="D19" s="13"/>
      <c r="E19" s="13"/>
      <c r="F19" s="13"/>
      <c r="G19" s="13"/>
      <c r="H19" s="14"/>
    </row>
    <row r="20" spans="1:8" x14ac:dyDescent="0.25">
      <c r="A20" s="2">
        <v>45851</v>
      </c>
      <c r="B20" s="12" t="s">
        <v>2</v>
      </c>
      <c r="C20" s="13"/>
      <c r="D20" s="13"/>
      <c r="E20" s="13"/>
      <c r="F20" s="13"/>
      <c r="G20" s="13"/>
      <c r="H20" s="14"/>
    </row>
    <row r="21" spans="1:8" x14ac:dyDescent="0.25">
      <c r="A21" s="2">
        <v>45852</v>
      </c>
      <c r="B21" s="11">
        <v>14154</v>
      </c>
      <c r="C21" s="11"/>
      <c r="D21" s="11"/>
      <c r="E21" s="11">
        <v>7569</v>
      </c>
      <c r="F21" s="11"/>
      <c r="G21" s="11"/>
      <c r="H21" s="4">
        <f>SUM(B21,E21)</f>
        <v>21723</v>
      </c>
    </row>
    <row r="22" spans="1:8" x14ac:dyDescent="0.25">
      <c r="A22" s="2">
        <v>45853</v>
      </c>
      <c r="B22" s="11">
        <v>14706</v>
      </c>
      <c r="C22" s="11"/>
      <c r="D22" s="11"/>
      <c r="E22" s="11"/>
      <c r="F22" s="11"/>
      <c r="G22" s="11"/>
      <c r="H22" s="4">
        <f t="shared" ref="H22:H25" si="2">SUM(B22,E22)</f>
        <v>14706</v>
      </c>
    </row>
    <row r="23" spans="1:8" x14ac:dyDescent="0.25">
      <c r="A23" s="2">
        <v>45854</v>
      </c>
      <c r="B23" s="11">
        <v>11194</v>
      </c>
      <c r="C23" s="11"/>
      <c r="D23" s="11"/>
      <c r="E23" s="11"/>
      <c r="F23" s="11"/>
      <c r="G23" s="11"/>
      <c r="H23" s="4">
        <f t="shared" si="2"/>
        <v>11194</v>
      </c>
    </row>
    <row r="24" spans="1:8" x14ac:dyDescent="0.25">
      <c r="A24" s="2">
        <v>45855</v>
      </c>
      <c r="B24" s="11" t="s">
        <v>9</v>
      </c>
      <c r="C24" s="11"/>
      <c r="D24" s="11"/>
      <c r="E24" s="11"/>
      <c r="F24" s="11"/>
      <c r="G24" s="11"/>
      <c r="H24" s="4">
        <f t="shared" si="2"/>
        <v>0</v>
      </c>
    </row>
    <row r="25" spans="1:8" x14ac:dyDescent="0.25">
      <c r="A25" s="2">
        <v>45856</v>
      </c>
      <c r="B25" s="11" t="s">
        <v>9</v>
      </c>
      <c r="C25" s="11"/>
      <c r="D25" s="11"/>
      <c r="E25" s="11"/>
      <c r="F25" s="11"/>
      <c r="G25" s="11"/>
      <c r="H25" s="4">
        <f t="shared" si="2"/>
        <v>0</v>
      </c>
    </row>
    <row r="26" spans="1:8" x14ac:dyDescent="0.25">
      <c r="A26" s="2">
        <v>45857</v>
      </c>
      <c r="B26" s="12" t="s">
        <v>1</v>
      </c>
      <c r="C26" s="13"/>
      <c r="D26" s="13"/>
      <c r="E26" s="13"/>
      <c r="F26" s="13"/>
      <c r="G26" s="13"/>
      <c r="H26" s="14"/>
    </row>
    <row r="27" spans="1:8" x14ac:dyDescent="0.25">
      <c r="A27" s="2">
        <v>45858</v>
      </c>
      <c r="B27" s="12" t="s">
        <v>2</v>
      </c>
      <c r="C27" s="13"/>
      <c r="D27" s="13"/>
      <c r="E27" s="13"/>
      <c r="F27" s="13"/>
      <c r="G27" s="13"/>
      <c r="H27" s="14"/>
    </row>
    <row r="28" spans="1:8" x14ac:dyDescent="0.25">
      <c r="A28" s="2">
        <v>45859</v>
      </c>
      <c r="B28" s="11">
        <v>17379</v>
      </c>
      <c r="C28" s="11"/>
      <c r="D28" s="11"/>
      <c r="E28" s="11">
        <v>6304</v>
      </c>
      <c r="F28" s="11"/>
      <c r="G28" s="11"/>
      <c r="H28" s="4">
        <f>SUM(B28,E28)</f>
        <v>23683</v>
      </c>
    </row>
    <row r="29" spans="1:8" x14ac:dyDescent="0.25">
      <c r="A29" s="2">
        <v>45860</v>
      </c>
      <c r="B29" s="11">
        <v>11495</v>
      </c>
      <c r="C29" s="11"/>
      <c r="D29" s="11"/>
      <c r="E29" s="11">
        <v>8319</v>
      </c>
      <c r="F29" s="11"/>
      <c r="G29" s="11"/>
      <c r="H29" s="4">
        <f t="shared" ref="H29:H32" si="3">SUM(B29,E29)</f>
        <v>19814</v>
      </c>
    </row>
    <row r="30" spans="1:8" x14ac:dyDescent="0.25">
      <c r="A30" s="2">
        <v>45861</v>
      </c>
      <c r="B30" s="11">
        <v>18165</v>
      </c>
      <c r="C30" s="11"/>
      <c r="D30" s="11"/>
      <c r="E30" s="11"/>
      <c r="F30" s="11"/>
      <c r="G30" s="11"/>
      <c r="H30" s="4">
        <f t="shared" si="3"/>
        <v>18165</v>
      </c>
    </row>
    <row r="31" spans="1:8" x14ac:dyDescent="0.25">
      <c r="A31" s="2">
        <v>45862</v>
      </c>
      <c r="B31" s="11">
        <v>14188</v>
      </c>
      <c r="C31" s="11"/>
      <c r="D31" s="11"/>
      <c r="E31" s="11"/>
      <c r="F31" s="11"/>
      <c r="G31" s="11"/>
      <c r="H31" s="4">
        <f t="shared" si="3"/>
        <v>14188</v>
      </c>
    </row>
    <row r="32" spans="1:8" x14ac:dyDescent="0.25">
      <c r="A32" s="2">
        <v>45863</v>
      </c>
      <c r="B32" s="11">
        <v>4756</v>
      </c>
      <c r="C32" s="11"/>
      <c r="D32" s="11"/>
      <c r="E32" s="11"/>
      <c r="F32" s="11"/>
      <c r="G32" s="11"/>
      <c r="H32" s="4">
        <f t="shared" si="3"/>
        <v>4756</v>
      </c>
    </row>
    <row r="33" spans="1:8" x14ac:dyDescent="0.25">
      <c r="A33" s="2">
        <v>45864</v>
      </c>
      <c r="B33" s="12" t="s">
        <v>1</v>
      </c>
      <c r="C33" s="13"/>
      <c r="D33" s="13"/>
      <c r="E33" s="13"/>
      <c r="F33" s="13"/>
      <c r="G33" s="13"/>
      <c r="H33" s="14"/>
    </row>
    <row r="34" spans="1:8" x14ac:dyDescent="0.25">
      <c r="A34" s="2">
        <v>45865</v>
      </c>
      <c r="B34" s="12" t="s">
        <v>2</v>
      </c>
      <c r="C34" s="13"/>
      <c r="D34" s="13"/>
      <c r="E34" s="13"/>
      <c r="F34" s="13"/>
      <c r="G34" s="13"/>
      <c r="H34" s="14"/>
    </row>
    <row r="35" spans="1:8" x14ac:dyDescent="0.25">
      <c r="A35" s="2">
        <v>45866</v>
      </c>
      <c r="B35" s="11">
        <v>15026</v>
      </c>
      <c r="C35" s="11"/>
      <c r="D35" s="11"/>
      <c r="E35" s="11"/>
      <c r="F35" s="11"/>
      <c r="G35" s="11"/>
      <c r="H35" s="4">
        <f>SUM(B35,E35)</f>
        <v>15026</v>
      </c>
    </row>
    <row r="36" spans="1:8" x14ac:dyDescent="0.25">
      <c r="A36" s="2">
        <v>45867</v>
      </c>
      <c r="B36" s="11">
        <v>12756</v>
      </c>
      <c r="C36" s="11"/>
      <c r="D36" s="11"/>
      <c r="E36" s="11"/>
      <c r="F36" s="11"/>
      <c r="G36" s="11"/>
      <c r="H36" s="4">
        <f t="shared" ref="H36:H38" si="4">SUM(B36,E36)</f>
        <v>12756</v>
      </c>
    </row>
    <row r="37" spans="1:8" x14ac:dyDescent="0.25">
      <c r="A37" s="2">
        <v>45868</v>
      </c>
      <c r="B37" s="11">
        <v>13160</v>
      </c>
      <c r="C37" s="11"/>
      <c r="D37" s="11"/>
      <c r="E37" s="11"/>
      <c r="F37" s="11"/>
      <c r="G37" s="11"/>
      <c r="H37" s="4">
        <f t="shared" si="4"/>
        <v>13160</v>
      </c>
    </row>
    <row r="38" spans="1:8" x14ac:dyDescent="0.25">
      <c r="A38" s="2">
        <v>45869</v>
      </c>
      <c r="B38" s="11">
        <v>11485</v>
      </c>
      <c r="C38" s="11"/>
      <c r="D38" s="11"/>
      <c r="E38" s="11"/>
      <c r="F38" s="11"/>
      <c r="G38" s="11"/>
      <c r="H38" s="4">
        <f t="shared" si="4"/>
        <v>11485</v>
      </c>
    </row>
    <row r="39" spans="1:8" x14ac:dyDescent="0.25">
      <c r="A39" s="7" t="s">
        <v>5</v>
      </c>
      <c r="B39" s="22">
        <f>SUM(B8:D11,B14,B16:D18,B21:D25,B28:D32,B35:D38)</f>
        <v>251255</v>
      </c>
      <c r="C39" s="23"/>
      <c r="D39" s="24"/>
      <c r="E39" s="22">
        <f>SUM(E8:G11,E14,E16:G18,E21:G25,E28:G32,E35:G38)</f>
        <v>81438</v>
      </c>
      <c r="F39" s="23"/>
      <c r="G39" s="24"/>
      <c r="H39" s="8">
        <f>SUM(H8:H11,H14,H16:H18,H21:H25,H28:H32,H35:H38)</f>
        <v>332693</v>
      </c>
    </row>
  </sheetData>
  <mergeCells count="62">
    <mergeCell ref="B33:H33"/>
    <mergeCell ref="B34:H34"/>
    <mergeCell ref="B15:H15"/>
    <mergeCell ref="B36:D36"/>
    <mergeCell ref="E36:G36"/>
    <mergeCell ref="E29:G29"/>
    <mergeCell ref="B30:D30"/>
    <mergeCell ref="E30:G30"/>
    <mergeCell ref="B31:D31"/>
    <mergeCell ref="E31:G31"/>
    <mergeCell ref="B32:D32"/>
    <mergeCell ref="E32:G32"/>
    <mergeCell ref="B22:D22"/>
    <mergeCell ref="E22:G22"/>
    <mergeCell ref="B28:D28"/>
    <mergeCell ref="E28:G28"/>
    <mergeCell ref="B37:D37"/>
    <mergeCell ref="E37:G37"/>
    <mergeCell ref="B38:D38"/>
    <mergeCell ref="E38:G38"/>
    <mergeCell ref="B35:D35"/>
    <mergeCell ref="E35:G35"/>
    <mergeCell ref="B39:D39"/>
    <mergeCell ref="E39:G39"/>
    <mergeCell ref="B29:D29"/>
    <mergeCell ref="B17:D17"/>
    <mergeCell ref="B24:D24"/>
    <mergeCell ref="E24:G24"/>
    <mergeCell ref="B25:D25"/>
    <mergeCell ref="E25:G25"/>
    <mergeCell ref="B26:H26"/>
    <mergeCell ref="B27:H27"/>
    <mergeCell ref="B19:H19"/>
    <mergeCell ref="B20:H20"/>
    <mergeCell ref="B21:D21"/>
    <mergeCell ref="E21:G21"/>
    <mergeCell ref="B23:D23"/>
    <mergeCell ref="E23:G23"/>
    <mergeCell ref="I12:J12"/>
    <mergeCell ref="B13:H13"/>
    <mergeCell ref="B16:D16"/>
    <mergeCell ref="E16:G16"/>
    <mergeCell ref="B18:D18"/>
    <mergeCell ref="E18:G18"/>
    <mergeCell ref="E17:G17"/>
    <mergeCell ref="B14:D14"/>
    <mergeCell ref="E14:G14"/>
    <mergeCell ref="B11:D11"/>
    <mergeCell ref="E11:G11"/>
    <mergeCell ref="B12:H12"/>
    <mergeCell ref="A1:H4"/>
    <mergeCell ref="A5:H5"/>
    <mergeCell ref="A6:A7"/>
    <mergeCell ref="B6:D7"/>
    <mergeCell ref="E6:G7"/>
    <mergeCell ref="H6:H7"/>
    <mergeCell ref="B8:D8"/>
    <mergeCell ref="E8:G8"/>
    <mergeCell ref="B9:D9"/>
    <mergeCell ref="E9:G9"/>
    <mergeCell ref="B10:D10"/>
    <mergeCell ref="E10:G1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07EE-1850-469F-A3CE-0D5DD0F6BDD9}">
  <dimension ref="A1:M39"/>
  <sheetViews>
    <sheetView workbookViewId="0">
      <selection activeCell="H8" sqref="H8:J8"/>
    </sheetView>
  </sheetViews>
  <sheetFormatPr defaultRowHeight="15" x14ac:dyDescent="0.25"/>
  <cols>
    <col min="1" max="9" width="9.140625" style="1"/>
    <col min="10" max="10" width="14.140625" style="1" customWidth="1"/>
    <col min="11" max="11" width="35.7109375" style="1" customWidth="1"/>
    <col min="12" max="12" width="19.140625" style="1" bestFit="1" customWidth="1"/>
    <col min="13" max="16384" width="9.140625" style="1"/>
  </cols>
  <sheetData>
    <row r="1" spans="1:13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3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3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3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3" ht="17.25" customHeight="1" x14ac:dyDescent="0.25">
      <c r="A6" s="19" t="s">
        <v>0</v>
      </c>
      <c r="B6" s="20" t="s">
        <v>16</v>
      </c>
      <c r="C6" s="20"/>
      <c r="D6" s="20"/>
      <c r="E6" s="25" t="s">
        <v>21</v>
      </c>
      <c r="F6" s="26"/>
      <c r="G6" s="27"/>
      <c r="H6" s="20" t="s">
        <v>22</v>
      </c>
      <c r="I6" s="20"/>
      <c r="J6" s="20"/>
      <c r="K6" s="21" t="s">
        <v>4</v>
      </c>
    </row>
    <row r="7" spans="1:13" ht="17.25" customHeight="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3" ht="15" customHeight="1" x14ac:dyDescent="0.25">
      <c r="A8" s="2">
        <v>45870</v>
      </c>
      <c r="B8" s="11">
        <v>10580</v>
      </c>
      <c r="C8" s="11"/>
      <c r="D8" s="11"/>
      <c r="E8" s="12"/>
      <c r="F8" s="13"/>
      <c r="G8" s="14"/>
      <c r="H8" s="11"/>
      <c r="I8" s="11"/>
      <c r="J8" s="11"/>
      <c r="K8" s="4">
        <f>SUM(E8:J8)</f>
        <v>0</v>
      </c>
    </row>
    <row r="9" spans="1:13" x14ac:dyDescent="0.25">
      <c r="A9" s="2">
        <v>45871</v>
      </c>
      <c r="B9" s="12" t="s">
        <v>1</v>
      </c>
      <c r="C9" s="13"/>
      <c r="D9" s="13"/>
      <c r="E9" s="13"/>
      <c r="F9" s="13"/>
      <c r="G9" s="13"/>
      <c r="H9" s="13"/>
      <c r="I9" s="13"/>
      <c r="J9" s="13"/>
      <c r="K9" s="14"/>
    </row>
    <row r="10" spans="1:13" x14ac:dyDescent="0.25">
      <c r="A10" s="2">
        <v>45872</v>
      </c>
      <c r="B10" s="12" t="s">
        <v>2</v>
      </c>
      <c r="C10" s="13"/>
      <c r="D10" s="13"/>
      <c r="E10" s="13"/>
      <c r="F10" s="13"/>
      <c r="G10" s="13"/>
      <c r="H10" s="13"/>
      <c r="I10" s="13"/>
      <c r="J10" s="13"/>
      <c r="K10" s="14"/>
    </row>
    <row r="11" spans="1:13" x14ac:dyDescent="0.25">
      <c r="A11" s="2">
        <v>45873</v>
      </c>
      <c r="B11" s="11">
        <v>11234</v>
      </c>
      <c r="C11" s="11"/>
      <c r="D11" s="11"/>
      <c r="E11" s="12"/>
      <c r="F11" s="13"/>
      <c r="G11" s="14"/>
      <c r="H11" s="11">
        <v>8603</v>
      </c>
      <c r="I11" s="11"/>
      <c r="J11" s="11"/>
      <c r="K11" s="4">
        <f>SUM(B11:J11)</f>
        <v>19837</v>
      </c>
    </row>
    <row r="12" spans="1:13" x14ac:dyDescent="0.25">
      <c r="A12" s="2">
        <v>45874</v>
      </c>
      <c r="B12" s="11">
        <v>13585</v>
      </c>
      <c r="C12" s="11"/>
      <c r="D12" s="11"/>
      <c r="E12" s="12"/>
      <c r="F12" s="13"/>
      <c r="G12" s="14"/>
      <c r="H12" s="11">
        <v>14262</v>
      </c>
      <c r="I12" s="11"/>
      <c r="J12" s="11"/>
      <c r="K12" s="4">
        <f t="shared" ref="K12:K15" si="0">SUM(B12:J12)</f>
        <v>27847</v>
      </c>
      <c r="L12" s="16"/>
      <c r="M12" s="16"/>
    </row>
    <row r="13" spans="1:13" x14ac:dyDescent="0.25">
      <c r="A13" s="2">
        <v>45875</v>
      </c>
      <c r="B13" s="11">
        <v>13004</v>
      </c>
      <c r="C13" s="11"/>
      <c r="D13" s="11"/>
      <c r="E13" s="12"/>
      <c r="F13" s="13"/>
      <c r="G13" s="14"/>
      <c r="H13" s="11">
        <v>14744</v>
      </c>
      <c r="I13" s="11"/>
      <c r="J13" s="11"/>
      <c r="K13" s="4">
        <f t="shared" si="0"/>
        <v>27748</v>
      </c>
      <c r="L13" s="3"/>
    </row>
    <row r="14" spans="1:13" x14ac:dyDescent="0.25">
      <c r="A14" s="2">
        <v>45876</v>
      </c>
      <c r="B14" s="11">
        <v>13744</v>
      </c>
      <c r="C14" s="11"/>
      <c r="D14" s="11"/>
      <c r="E14" s="12">
        <v>10741</v>
      </c>
      <c r="F14" s="13"/>
      <c r="G14" s="14"/>
      <c r="H14" s="11">
        <v>10444</v>
      </c>
      <c r="I14" s="11"/>
      <c r="J14" s="11"/>
      <c r="K14" s="4">
        <f t="shared" si="0"/>
        <v>34929</v>
      </c>
    </row>
    <row r="15" spans="1:13" x14ac:dyDescent="0.25">
      <c r="A15" s="2">
        <v>45877</v>
      </c>
      <c r="B15" s="11">
        <v>14622</v>
      </c>
      <c r="C15" s="11"/>
      <c r="D15" s="11"/>
      <c r="E15" s="12">
        <v>10744</v>
      </c>
      <c r="F15" s="13"/>
      <c r="G15" s="14"/>
      <c r="H15" s="11">
        <v>11883</v>
      </c>
      <c r="I15" s="11"/>
      <c r="J15" s="11"/>
      <c r="K15" s="4">
        <f t="shared" si="0"/>
        <v>37249</v>
      </c>
    </row>
    <row r="16" spans="1:13" x14ac:dyDescent="0.25">
      <c r="A16" s="2">
        <v>45878</v>
      </c>
      <c r="B16" s="12" t="s">
        <v>1</v>
      </c>
      <c r="C16" s="13"/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2">
        <v>45879</v>
      </c>
      <c r="B17" s="12" t="s">
        <v>2</v>
      </c>
      <c r="C17" s="13"/>
      <c r="D17" s="13"/>
      <c r="E17" s="13"/>
      <c r="F17" s="13"/>
      <c r="G17" s="13"/>
      <c r="H17" s="13"/>
      <c r="I17" s="13"/>
      <c r="J17" s="13"/>
      <c r="K17" s="14"/>
    </row>
    <row r="18" spans="1:11" x14ac:dyDescent="0.25">
      <c r="A18" s="2">
        <v>45880</v>
      </c>
      <c r="B18" s="11">
        <v>19038</v>
      </c>
      <c r="C18" s="11"/>
      <c r="D18" s="11"/>
      <c r="E18" s="12">
        <v>12157</v>
      </c>
      <c r="F18" s="13"/>
      <c r="G18" s="14"/>
      <c r="H18" s="11">
        <v>11834</v>
      </c>
      <c r="I18" s="11"/>
      <c r="J18" s="11"/>
      <c r="K18" s="4">
        <f>SUM(B18:J18)</f>
        <v>43029</v>
      </c>
    </row>
    <row r="19" spans="1:11" x14ac:dyDescent="0.25">
      <c r="A19" s="2">
        <v>45881</v>
      </c>
      <c r="B19" s="11">
        <v>16364</v>
      </c>
      <c r="C19" s="11"/>
      <c r="D19" s="11"/>
      <c r="E19" s="12">
        <v>9665</v>
      </c>
      <c r="F19" s="13"/>
      <c r="G19" s="14"/>
      <c r="H19" s="11">
        <v>9485</v>
      </c>
      <c r="I19" s="11"/>
      <c r="J19" s="11"/>
      <c r="K19" s="4">
        <f t="shared" ref="K19:K22" si="1">SUM(B19:J19)</f>
        <v>35514</v>
      </c>
    </row>
    <row r="20" spans="1:11" x14ac:dyDescent="0.25">
      <c r="A20" s="2">
        <v>45882</v>
      </c>
      <c r="B20" s="11">
        <v>18352</v>
      </c>
      <c r="C20" s="11"/>
      <c r="D20" s="11"/>
      <c r="E20" s="12">
        <v>10188</v>
      </c>
      <c r="F20" s="13"/>
      <c r="G20" s="14"/>
      <c r="H20" s="11">
        <v>13257</v>
      </c>
      <c r="I20" s="11"/>
      <c r="J20" s="11"/>
      <c r="K20" s="4">
        <f t="shared" si="1"/>
        <v>41797</v>
      </c>
    </row>
    <row r="21" spans="1:11" x14ac:dyDescent="0.25">
      <c r="A21" s="2">
        <v>45883</v>
      </c>
      <c r="B21" s="11">
        <v>13319</v>
      </c>
      <c r="C21" s="11"/>
      <c r="D21" s="11"/>
      <c r="E21" s="12">
        <v>12474</v>
      </c>
      <c r="F21" s="13"/>
      <c r="G21" s="14"/>
      <c r="H21" s="11">
        <v>14274</v>
      </c>
      <c r="I21" s="11"/>
      <c r="J21" s="11"/>
      <c r="K21" s="4">
        <f t="shared" si="1"/>
        <v>40067</v>
      </c>
    </row>
    <row r="22" spans="1:11" x14ac:dyDescent="0.25">
      <c r="A22" s="2">
        <v>45884</v>
      </c>
      <c r="B22" s="11">
        <v>15562</v>
      </c>
      <c r="C22" s="11"/>
      <c r="D22" s="11"/>
      <c r="E22" s="12">
        <v>11689</v>
      </c>
      <c r="F22" s="13"/>
      <c r="G22" s="14"/>
      <c r="H22" s="11">
        <v>12702</v>
      </c>
      <c r="I22" s="11"/>
      <c r="J22" s="11"/>
      <c r="K22" s="4">
        <f t="shared" si="1"/>
        <v>39953</v>
      </c>
    </row>
    <row r="23" spans="1:11" x14ac:dyDescent="0.25">
      <c r="A23" s="2">
        <v>45885</v>
      </c>
      <c r="B23" s="12" t="s">
        <v>1</v>
      </c>
      <c r="C23" s="13"/>
      <c r="D23" s="13"/>
      <c r="E23" s="13"/>
      <c r="F23" s="13"/>
      <c r="G23" s="13"/>
      <c r="H23" s="13"/>
      <c r="I23" s="13"/>
      <c r="J23" s="13"/>
      <c r="K23" s="14"/>
    </row>
    <row r="24" spans="1:11" x14ac:dyDescent="0.25">
      <c r="A24" s="2">
        <v>45886</v>
      </c>
      <c r="B24" s="12" t="s">
        <v>2</v>
      </c>
      <c r="C24" s="13"/>
      <c r="D24" s="13"/>
      <c r="E24" s="13"/>
      <c r="F24" s="13"/>
      <c r="G24" s="13"/>
      <c r="H24" s="13"/>
      <c r="I24" s="13"/>
      <c r="J24" s="13"/>
      <c r="K24" s="14"/>
    </row>
    <row r="25" spans="1:11" x14ac:dyDescent="0.25">
      <c r="A25" s="2">
        <v>45887</v>
      </c>
      <c r="B25" s="11">
        <v>19744</v>
      </c>
      <c r="C25" s="11"/>
      <c r="D25" s="11"/>
      <c r="E25" s="12">
        <v>11129</v>
      </c>
      <c r="F25" s="13"/>
      <c r="G25" s="14"/>
      <c r="H25" s="11">
        <v>13283</v>
      </c>
      <c r="I25" s="11"/>
      <c r="J25" s="11"/>
      <c r="K25" s="4">
        <f>SUM(B25:J25)</f>
        <v>44156</v>
      </c>
    </row>
    <row r="26" spans="1:11" x14ac:dyDescent="0.25">
      <c r="A26" s="2">
        <v>45888</v>
      </c>
      <c r="B26" s="11" t="s">
        <v>10</v>
      </c>
      <c r="C26" s="11"/>
      <c r="D26" s="11"/>
      <c r="E26" s="12">
        <v>18208</v>
      </c>
      <c r="F26" s="13"/>
      <c r="G26" s="14"/>
      <c r="H26" s="11">
        <v>15564</v>
      </c>
      <c r="I26" s="11"/>
      <c r="J26" s="11"/>
      <c r="K26" s="4">
        <f t="shared" ref="K26:K29" si="2">SUM(B26:J26)</f>
        <v>33772</v>
      </c>
    </row>
    <row r="27" spans="1:11" x14ac:dyDescent="0.25">
      <c r="A27" s="2">
        <v>45889</v>
      </c>
      <c r="B27" s="11" t="s">
        <v>10</v>
      </c>
      <c r="C27" s="11"/>
      <c r="D27" s="11"/>
      <c r="E27" s="12">
        <v>16404</v>
      </c>
      <c r="F27" s="13"/>
      <c r="G27" s="14"/>
      <c r="H27" s="11">
        <v>13120</v>
      </c>
      <c r="I27" s="11"/>
      <c r="J27" s="11"/>
      <c r="K27" s="4">
        <f t="shared" si="2"/>
        <v>29524</v>
      </c>
    </row>
    <row r="28" spans="1:11" x14ac:dyDescent="0.25">
      <c r="A28" s="2">
        <v>45890</v>
      </c>
      <c r="B28" s="11" t="s">
        <v>10</v>
      </c>
      <c r="C28" s="11"/>
      <c r="D28" s="11"/>
      <c r="E28" s="12">
        <v>16709</v>
      </c>
      <c r="F28" s="13"/>
      <c r="G28" s="14"/>
      <c r="H28" s="11">
        <v>14548</v>
      </c>
      <c r="I28" s="11"/>
      <c r="J28" s="11"/>
      <c r="K28" s="4">
        <f t="shared" si="2"/>
        <v>31257</v>
      </c>
    </row>
    <row r="29" spans="1:11" x14ac:dyDescent="0.25">
      <c r="A29" s="2">
        <v>45891</v>
      </c>
      <c r="B29" s="11" t="s">
        <v>10</v>
      </c>
      <c r="C29" s="11"/>
      <c r="D29" s="11"/>
      <c r="E29" s="12">
        <v>13202</v>
      </c>
      <c r="F29" s="13"/>
      <c r="G29" s="14"/>
      <c r="H29" s="11">
        <v>12517</v>
      </c>
      <c r="I29" s="11"/>
      <c r="J29" s="11"/>
      <c r="K29" s="4">
        <f t="shared" si="2"/>
        <v>25719</v>
      </c>
    </row>
    <row r="30" spans="1:11" x14ac:dyDescent="0.25">
      <c r="A30" s="2">
        <v>45892</v>
      </c>
      <c r="B30" s="12" t="s">
        <v>1</v>
      </c>
      <c r="C30" s="13"/>
      <c r="D30" s="13"/>
      <c r="E30" s="13"/>
      <c r="F30" s="13"/>
      <c r="G30" s="13"/>
      <c r="H30" s="13"/>
      <c r="I30" s="13"/>
      <c r="J30" s="13"/>
      <c r="K30" s="14"/>
    </row>
    <row r="31" spans="1:11" x14ac:dyDescent="0.25">
      <c r="A31" s="2">
        <v>45893</v>
      </c>
      <c r="B31" s="12" t="s">
        <v>2</v>
      </c>
      <c r="C31" s="13"/>
      <c r="D31" s="13"/>
      <c r="E31" s="13"/>
      <c r="F31" s="13"/>
      <c r="G31" s="13"/>
      <c r="H31" s="13"/>
      <c r="I31" s="13"/>
      <c r="J31" s="13"/>
      <c r="K31" s="14"/>
    </row>
    <row r="32" spans="1:11" x14ac:dyDescent="0.25">
      <c r="A32" s="2">
        <v>45894</v>
      </c>
      <c r="B32" s="11" t="s">
        <v>10</v>
      </c>
      <c r="C32" s="11"/>
      <c r="D32" s="11"/>
      <c r="E32" s="12">
        <v>18173</v>
      </c>
      <c r="F32" s="13"/>
      <c r="G32" s="14"/>
      <c r="H32" s="11">
        <v>14540</v>
      </c>
      <c r="I32" s="11"/>
      <c r="J32" s="11"/>
      <c r="K32" s="4">
        <f>SUM(B32:J32)</f>
        <v>32713</v>
      </c>
    </row>
    <row r="33" spans="1:11" x14ac:dyDescent="0.25">
      <c r="A33" s="2">
        <v>45895</v>
      </c>
      <c r="B33" s="11" t="s">
        <v>10</v>
      </c>
      <c r="C33" s="11"/>
      <c r="D33" s="11"/>
      <c r="E33" s="12">
        <v>16415</v>
      </c>
      <c r="F33" s="13"/>
      <c r="G33" s="14"/>
      <c r="H33" s="11">
        <v>13620</v>
      </c>
      <c r="I33" s="11"/>
      <c r="J33" s="11"/>
      <c r="K33" s="4">
        <f t="shared" ref="K33:K36" si="3">SUM(B33:J33)</f>
        <v>30035</v>
      </c>
    </row>
    <row r="34" spans="1:11" x14ac:dyDescent="0.25">
      <c r="A34" s="2">
        <v>45896</v>
      </c>
      <c r="B34" s="11"/>
      <c r="C34" s="11"/>
      <c r="D34" s="11"/>
      <c r="E34" s="12">
        <v>14944</v>
      </c>
      <c r="F34" s="13"/>
      <c r="G34" s="14"/>
      <c r="H34" s="11">
        <v>13790</v>
      </c>
      <c r="I34" s="11"/>
      <c r="J34" s="11"/>
      <c r="K34" s="4">
        <f t="shared" si="3"/>
        <v>28734</v>
      </c>
    </row>
    <row r="35" spans="1:11" x14ac:dyDescent="0.25">
      <c r="A35" s="2">
        <v>45897</v>
      </c>
      <c r="B35" s="11"/>
      <c r="C35" s="11"/>
      <c r="D35" s="11"/>
      <c r="E35" s="12">
        <v>15406</v>
      </c>
      <c r="F35" s="13"/>
      <c r="G35" s="14"/>
      <c r="H35" s="11">
        <v>14200</v>
      </c>
      <c r="I35" s="11"/>
      <c r="J35" s="11"/>
      <c r="K35" s="4">
        <f t="shared" si="3"/>
        <v>29606</v>
      </c>
    </row>
    <row r="36" spans="1:11" x14ac:dyDescent="0.25">
      <c r="A36" s="2">
        <v>45898</v>
      </c>
      <c r="B36" s="11"/>
      <c r="C36" s="11"/>
      <c r="D36" s="11"/>
      <c r="E36" s="12"/>
      <c r="F36" s="13"/>
      <c r="G36" s="14"/>
      <c r="H36" s="11"/>
      <c r="I36" s="11"/>
      <c r="J36" s="11"/>
      <c r="K36" s="4">
        <f t="shared" si="3"/>
        <v>0</v>
      </c>
    </row>
    <row r="37" spans="1:11" x14ac:dyDescent="0.25">
      <c r="A37" s="2">
        <v>45899</v>
      </c>
      <c r="B37" s="12" t="s">
        <v>1</v>
      </c>
      <c r="C37" s="13"/>
      <c r="D37" s="13"/>
      <c r="E37" s="13"/>
      <c r="F37" s="13"/>
      <c r="G37" s="13"/>
      <c r="H37" s="13"/>
      <c r="I37" s="13"/>
      <c r="J37" s="13"/>
      <c r="K37" s="14"/>
    </row>
    <row r="38" spans="1:11" x14ac:dyDescent="0.25">
      <c r="A38" s="2">
        <v>45900</v>
      </c>
      <c r="B38" s="12" t="s">
        <v>2</v>
      </c>
      <c r="C38" s="13"/>
      <c r="D38" s="13"/>
      <c r="E38" s="13"/>
      <c r="F38" s="13"/>
      <c r="G38" s="13"/>
      <c r="H38" s="13"/>
      <c r="I38" s="13"/>
      <c r="J38" s="13"/>
      <c r="K38" s="14"/>
    </row>
    <row r="39" spans="1:11" x14ac:dyDescent="0.25">
      <c r="A39" s="7" t="s">
        <v>5</v>
      </c>
      <c r="B39" s="22">
        <f>SUM(B8,B11:D15,B18:D22,B25:D29,B32:D36)</f>
        <v>179148</v>
      </c>
      <c r="C39" s="23"/>
      <c r="D39" s="24"/>
      <c r="E39" s="31">
        <f>SUM(E8,E11:G15,E18:G22,E25:G29,E32:G36)</f>
        <v>218248</v>
      </c>
      <c r="F39" s="32"/>
      <c r="G39" s="33"/>
      <c r="H39" s="22">
        <f>SUM(H8,H11:J15,H18:J22,H25:J29,H32:J36)</f>
        <v>246670</v>
      </c>
      <c r="I39" s="23"/>
      <c r="J39" s="24"/>
      <c r="K39" s="8">
        <f>SUM(K8,K11:K15,K18:K22,K25:K29,K32:K36)</f>
        <v>633486</v>
      </c>
    </row>
  </sheetData>
  <mergeCells count="84">
    <mergeCell ref="E36:G36"/>
    <mergeCell ref="E39:G39"/>
    <mergeCell ref="B9:K9"/>
    <mergeCell ref="B12:D12"/>
    <mergeCell ref="H12:J12"/>
    <mergeCell ref="B13:D13"/>
    <mergeCell ref="H13:J13"/>
    <mergeCell ref="E11:G11"/>
    <mergeCell ref="E12:G12"/>
    <mergeCell ref="E13:G13"/>
    <mergeCell ref="B39:D39"/>
    <mergeCell ref="H39:J39"/>
    <mergeCell ref="B37:K37"/>
    <mergeCell ref="B38:K38"/>
    <mergeCell ref="B10:K10"/>
    <mergeCell ref="E14:G14"/>
    <mergeCell ref="E18:G18"/>
    <mergeCell ref="E19:G19"/>
    <mergeCell ref="E20:G20"/>
    <mergeCell ref="E21:G21"/>
    <mergeCell ref="B16:K16"/>
    <mergeCell ref="B17:K17"/>
    <mergeCell ref="B21:D21"/>
    <mergeCell ref="H21:J21"/>
    <mergeCell ref="B19:D19"/>
    <mergeCell ref="H19:J19"/>
    <mergeCell ref="B20:D20"/>
    <mergeCell ref="H20:J20"/>
    <mergeCell ref="B18:D18"/>
    <mergeCell ref="H18:J18"/>
    <mergeCell ref="E22:G22"/>
    <mergeCell ref="E25:G25"/>
    <mergeCell ref="E26:G26"/>
    <mergeCell ref="E27:G27"/>
    <mergeCell ref="E28:G28"/>
    <mergeCell ref="B23:K23"/>
    <mergeCell ref="B24:K24"/>
    <mergeCell ref="B28:D28"/>
    <mergeCell ref="H28:J28"/>
    <mergeCell ref="B25:D25"/>
    <mergeCell ref="H25:J25"/>
    <mergeCell ref="B22:D22"/>
    <mergeCell ref="H22:J22"/>
    <mergeCell ref="B30:K30"/>
    <mergeCell ref="B31:K31"/>
    <mergeCell ref="B35:D35"/>
    <mergeCell ref="H35:J35"/>
    <mergeCell ref="B36:D36"/>
    <mergeCell ref="H36:J36"/>
    <mergeCell ref="B33:D33"/>
    <mergeCell ref="H33:J33"/>
    <mergeCell ref="B34:D34"/>
    <mergeCell ref="H34:J34"/>
    <mergeCell ref="B32:D32"/>
    <mergeCell ref="H32:J32"/>
    <mergeCell ref="E32:G32"/>
    <mergeCell ref="E33:G33"/>
    <mergeCell ref="E34:G34"/>
    <mergeCell ref="E35:G35"/>
    <mergeCell ref="B29:D29"/>
    <mergeCell ref="H29:J29"/>
    <mergeCell ref="B26:D26"/>
    <mergeCell ref="H26:J26"/>
    <mergeCell ref="B27:D27"/>
    <mergeCell ref="H27:J27"/>
    <mergeCell ref="E29:G29"/>
    <mergeCell ref="H15:J15"/>
    <mergeCell ref="B11:D11"/>
    <mergeCell ref="H11:J11"/>
    <mergeCell ref="L12:M12"/>
    <mergeCell ref="B14:D14"/>
    <mergeCell ref="H14:J14"/>
    <mergeCell ref="E15:G15"/>
    <mergeCell ref="B15:D15"/>
    <mergeCell ref="B8:D8"/>
    <mergeCell ref="H8:J8"/>
    <mergeCell ref="A1:K4"/>
    <mergeCell ref="A5:K5"/>
    <mergeCell ref="A6:A7"/>
    <mergeCell ref="B6:D7"/>
    <mergeCell ref="H6:J7"/>
    <mergeCell ref="K6:K7"/>
    <mergeCell ref="E6:G7"/>
    <mergeCell ref="E8:G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8548-6856-4136-8424-834C0F8EEAF3}">
  <dimension ref="A1:M38"/>
  <sheetViews>
    <sheetView topLeftCell="A4" workbookViewId="0">
      <selection activeCell="E8" sqref="E8:G8"/>
    </sheetView>
  </sheetViews>
  <sheetFormatPr defaultRowHeight="15" x14ac:dyDescent="0.25"/>
  <cols>
    <col min="1" max="9" width="9.140625" style="1"/>
    <col min="10" max="10" width="14.140625" style="1" customWidth="1"/>
    <col min="11" max="11" width="35.7109375" style="1" customWidth="1"/>
    <col min="12" max="12" width="19.140625" style="1" bestFit="1" customWidth="1"/>
    <col min="13" max="16384" width="9.140625" style="1"/>
  </cols>
  <sheetData>
    <row r="1" spans="1:13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3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3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3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3" ht="17.25" customHeight="1" x14ac:dyDescent="0.25">
      <c r="A6" s="19" t="s">
        <v>0</v>
      </c>
      <c r="B6" s="20" t="s">
        <v>16</v>
      </c>
      <c r="C6" s="20"/>
      <c r="D6" s="20"/>
      <c r="E6" s="25" t="s">
        <v>21</v>
      </c>
      <c r="F6" s="26"/>
      <c r="G6" s="27"/>
      <c r="H6" s="20" t="s">
        <v>17</v>
      </c>
      <c r="I6" s="20"/>
      <c r="J6" s="20"/>
      <c r="K6" s="21" t="s">
        <v>4</v>
      </c>
    </row>
    <row r="7" spans="1:13" ht="17.25" customHeight="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3" ht="15" customHeight="1" x14ac:dyDescent="0.25">
      <c r="A8" s="2">
        <v>45901</v>
      </c>
      <c r="B8" s="11">
        <v>18491</v>
      </c>
      <c r="C8" s="11"/>
      <c r="D8" s="11"/>
      <c r="E8" s="12">
        <v>15181</v>
      </c>
      <c r="F8" s="13"/>
      <c r="G8" s="14"/>
      <c r="H8" s="11">
        <v>11354</v>
      </c>
      <c r="I8" s="11"/>
      <c r="J8" s="11"/>
      <c r="K8" s="4">
        <f>SUM(B8,E8,H8)</f>
        <v>45026</v>
      </c>
    </row>
    <row r="9" spans="1:13" x14ac:dyDescent="0.25">
      <c r="A9" s="2">
        <v>45902</v>
      </c>
      <c r="B9" s="11">
        <v>17704</v>
      </c>
      <c r="C9" s="11"/>
      <c r="D9" s="11"/>
      <c r="E9" s="12">
        <v>14716</v>
      </c>
      <c r="F9" s="13"/>
      <c r="G9" s="14"/>
      <c r="H9" s="11">
        <v>14197</v>
      </c>
      <c r="I9" s="11"/>
      <c r="J9" s="11"/>
      <c r="K9" s="4">
        <f t="shared" ref="K9:K12" si="0">SUM(B9,E9,H9)</f>
        <v>46617</v>
      </c>
    </row>
    <row r="10" spans="1:13" x14ac:dyDescent="0.25">
      <c r="A10" s="2">
        <v>45903</v>
      </c>
      <c r="B10" s="11">
        <v>18667</v>
      </c>
      <c r="C10" s="11"/>
      <c r="D10" s="11"/>
      <c r="E10" s="12">
        <v>8564</v>
      </c>
      <c r="F10" s="13"/>
      <c r="G10" s="14"/>
      <c r="H10" s="11">
        <v>14573</v>
      </c>
      <c r="I10" s="11"/>
      <c r="J10" s="11"/>
      <c r="K10" s="4">
        <f t="shared" si="0"/>
        <v>41804</v>
      </c>
    </row>
    <row r="11" spans="1:13" x14ac:dyDescent="0.25">
      <c r="A11" s="2">
        <v>45904</v>
      </c>
      <c r="B11" s="11">
        <v>17950</v>
      </c>
      <c r="C11" s="11"/>
      <c r="D11" s="11"/>
      <c r="E11" s="12">
        <v>13656</v>
      </c>
      <c r="F11" s="13"/>
      <c r="G11" s="14"/>
      <c r="H11" s="11">
        <v>14396</v>
      </c>
      <c r="I11" s="11"/>
      <c r="J11" s="11"/>
      <c r="K11" s="4">
        <f t="shared" si="0"/>
        <v>46002</v>
      </c>
    </row>
    <row r="12" spans="1:13" x14ac:dyDescent="0.25">
      <c r="A12" s="2">
        <v>45905</v>
      </c>
      <c r="B12" s="11">
        <v>14822</v>
      </c>
      <c r="C12" s="11"/>
      <c r="D12" s="11"/>
      <c r="E12" s="12">
        <v>14272</v>
      </c>
      <c r="F12" s="13"/>
      <c r="G12" s="14"/>
      <c r="H12" s="11">
        <v>11760</v>
      </c>
      <c r="I12" s="11"/>
      <c r="J12" s="11"/>
      <c r="K12" s="4">
        <f t="shared" si="0"/>
        <v>40854</v>
      </c>
      <c r="L12" s="16"/>
      <c r="M12" s="16"/>
    </row>
    <row r="13" spans="1:13" x14ac:dyDescent="0.25">
      <c r="A13" s="2">
        <v>45906</v>
      </c>
      <c r="B13" s="12" t="s">
        <v>1</v>
      </c>
      <c r="C13" s="13"/>
      <c r="D13" s="13"/>
      <c r="E13" s="13"/>
      <c r="F13" s="13"/>
      <c r="G13" s="13"/>
      <c r="H13" s="13"/>
      <c r="I13" s="13"/>
      <c r="J13" s="13"/>
      <c r="K13" s="14"/>
      <c r="L13" s="3"/>
    </row>
    <row r="14" spans="1:13" x14ac:dyDescent="0.25">
      <c r="A14" s="2">
        <v>45907</v>
      </c>
      <c r="B14" s="12" t="s">
        <v>8</v>
      </c>
      <c r="C14" s="13"/>
      <c r="D14" s="13"/>
      <c r="E14" s="13"/>
      <c r="F14" s="13"/>
      <c r="G14" s="13"/>
      <c r="H14" s="13"/>
      <c r="I14" s="13"/>
      <c r="J14" s="13"/>
      <c r="K14" s="14"/>
    </row>
    <row r="15" spans="1:13" x14ac:dyDescent="0.25">
      <c r="A15" s="2">
        <v>45908</v>
      </c>
      <c r="B15" s="11">
        <v>17450</v>
      </c>
      <c r="C15" s="11"/>
      <c r="D15" s="11"/>
      <c r="E15" s="12">
        <v>15167</v>
      </c>
      <c r="F15" s="13"/>
      <c r="G15" s="14"/>
      <c r="H15" s="11">
        <v>15279</v>
      </c>
      <c r="I15" s="11"/>
      <c r="J15" s="11"/>
      <c r="K15" s="4">
        <f>SUM(B15:J15)</f>
        <v>47896</v>
      </c>
    </row>
    <row r="16" spans="1:13" x14ac:dyDescent="0.25">
      <c r="A16" s="2">
        <v>45909</v>
      </c>
      <c r="B16" s="11">
        <v>16384</v>
      </c>
      <c r="C16" s="11"/>
      <c r="D16" s="11"/>
      <c r="E16" s="12"/>
      <c r="F16" s="13"/>
      <c r="G16" s="14"/>
      <c r="H16" s="11">
        <v>13379</v>
      </c>
      <c r="I16" s="11"/>
      <c r="J16" s="11"/>
      <c r="K16" s="4">
        <f t="shared" ref="K16:K19" si="1">SUM(B16:J16)</f>
        <v>29763</v>
      </c>
    </row>
    <row r="17" spans="1:11" x14ac:dyDescent="0.25">
      <c r="A17" s="2">
        <v>45910</v>
      </c>
      <c r="B17" s="11">
        <v>18016</v>
      </c>
      <c r="C17" s="11"/>
      <c r="D17" s="11"/>
      <c r="E17" s="12"/>
      <c r="F17" s="13"/>
      <c r="G17" s="14"/>
      <c r="H17" s="11">
        <v>12976</v>
      </c>
      <c r="I17" s="11"/>
      <c r="J17" s="11"/>
      <c r="K17" s="4">
        <f t="shared" si="1"/>
        <v>30992</v>
      </c>
    </row>
    <row r="18" spans="1:11" x14ac:dyDescent="0.25">
      <c r="A18" s="2">
        <v>45911</v>
      </c>
      <c r="B18" s="11">
        <v>20800</v>
      </c>
      <c r="C18" s="11"/>
      <c r="D18" s="11"/>
      <c r="E18" s="12"/>
      <c r="F18" s="13"/>
      <c r="G18" s="14"/>
      <c r="H18" s="11">
        <v>12957</v>
      </c>
      <c r="I18" s="11"/>
      <c r="J18" s="11"/>
      <c r="K18" s="4">
        <f t="shared" si="1"/>
        <v>33757</v>
      </c>
    </row>
    <row r="19" spans="1:11" x14ac:dyDescent="0.25">
      <c r="A19" s="2">
        <v>45912</v>
      </c>
      <c r="B19" s="11">
        <v>19887</v>
      </c>
      <c r="C19" s="11"/>
      <c r="D19" s="11"/>
      <c r="E19" s="12"/>
      <c r="F19" s="13"/>
      <c r="G19" s="14"/>
      <c r="H19" s="11">
        <v>12208</v>
      </c>
      <c r="I19" s="11"/>
      <c r="J19" s="11"/>
      <c r="K19" s="4">
        <f t="shared" si="1"/>
        <v>32095</v>
      </c>
    </row>
    <row r="20" spans="1:11" x14ac:dyDescent="0.25">
      <c r="A20" s="2">
        <v>45913</v>
      </c>
      <c r="B20" s="12" t="s">
        <v>1</v>
      </c>
      <c r="C20" s="13"/>
      <c r="D20" s="13"/>
      <c r="E20" s="13"/>
      <c r="F20" s="13"/>
      <c r="G20" s="13"/>
      <c r="H20" s="13"/>
      <c r="I20" s="13"/>
      <c r="J20" s="13"/>
      <c r="K20" s="14"/>
    </row>
    <row r="21" spans="1:11" x14ac:dyDescent="0.25">
      <c r="A21" s="2">
        <v>45914</v>
      </c>
      <c r="B21" s="12" t="s">
        <v>2</v>
      </c>
      <c r="C21" s="13"/>
      <c r="D21" s="13"/>
      <c r="E21" s="13"/>
      <c r="F21" s="13"/>
      <c r="G21" s="13"/>
      <c r="H21" s="13"/>
      <c r="I21" s="13"/>
      <c r="J21" s="13"/>
      <c r="K21" s="14"/>
    </row>
    <row r="22" spans="1:11" x14ac:dyDescent="0.25">
      <c r="A22" s="2">
        <v>45915</v>
      </c>
      <c r="B22" s="11">
        <v>19819</v>
      </c>
      <c r="C22" s="11"/>
      <c r="D22" s="11"/>
      <c r="E22" s="12">
        <v>12315</v>
      </c>
      <c r="F22" s="13"/>
      <c r="G22" s="14"/>
      <c r="H22" s="11">
        <v>11878</v>
      </c>
      <c r="I22" s="11"/>
      <c r="J22" s="11"/>
      <c r="K22" s="4">
        <f>SUM(B22,E22,H22)</f>
        <v>44012</v>
      </c>
    </row>
    <row r="23" spans="1:11" x14ac:dyDescent="0.25">
      <c r="A23" s="2">
        <v>45916</v>
      </c>
      <c r="B23" s="11">
        <v>17663</v>
      </c>
      <c r="C23" s="11"/>
      <c r="D23" s="11"/>
      <c r="E23" s="12">
        <v>9344</v>
      </c>
      <c r="F23" s="13"/>
      <c r="G23" s="14"/>
      <c r="H23" s="11">
        <v>10334</v>
      </c>
      <c r="I23" s="11"/>
      <c r="J23" s="11"/>
      <c r="K23" s="4">
        <f t="shared" ref="K23:K26" si="2">SUM(B23,E23,H23)</f>
        <v>37341</v>
      </c>
    </row>
    <row r="24" spans="1:11" x14ac:dyDescent="0.25">
      <c r="A24" s="2">
        <v>45917</v>
      </c>
      <c r="B24" s="11">
        <v>14783</v>
      </c>
      <c r="C24" s="11"/>
      <c r="D24" s="11"/>
      <c r="E24" s="12">
        <v>8357</v>
      </c>
      <c r="F24" s="13"/>
      <c r="G24" s="14"/>
      <c r="H24" s="11">
        <v>11797</v>
      </c>
      <c r="I24" s="11"/>
      <c r="J24" s="11"/>
      <c r="K24" s="4">
        <f t="shared" si="2"/>
        <v>34937</v>
      </c>
    </row>
    <row r="25" spans="1:11" x14ac:dyDescent="0.25">
      <c r="A25" s="2">
        <v>45918</v>
      </c>
      <c r="B25" s="11">
        <v>12006</v>
      </c>
      <c r="C25" s="11"/>
      <c r="D25" s="11"/>
      <c r="E25" s="12"/>
      <c r="F25" s="13"/>
      <c r="G25" s="14"/>
      <c r="H25" s="11">
        <v>11936</v>
      </c>
      <c r="I25" s="11"/>
      <c r="J25" s="11"/>
      <c r="K25" s="4">
        <f t="shared" si="2"/>
        <v>23942</v>
      </c>
    </row>
    <row r="26" spans="1:11" x14ac:dyDescent="0.25">
      <c r="A26" s="2">
        <v>45919</v>
      </c>
      <c r="B26" s="11">
        <v>10645</v>
      </c>
      <c r="C26" s="11"/>
      <c r="D26" s="11"/>
      <c r="E26" s="12"/>
      <c r="F26" s="13"/>
      <c r="G26" s="14"/>
      <c r="H26" s="11">
        <v>9257</v>
      </c>
      <c r="I26" s="11"/>
      <c r="J26" s="11"/>
      <c r="K26" s="4">
        <f t="shared" si="2"/>
        <v>19902</v>
      </c>
    </row>
    <row r="27" spans="1:11" x14ac:dyDescent="0.25">
      <c r="A27" s="2">
        <v>45920</v>
      </c>
      <c r="B27" s="12" t="s">
        <v>1</v>
      </c>
      <c r="C27" s="13"/>
      <c r="D27" s="13"/>
      <c r="E27" s="13"/>
      <c r="F27" s="13"/>
      <c r="G27" s="13"/>
      <c r="H27" s="13"/>
      <c r="I27" s="13"/>
      <c r="J27" s="13"/>
      <c r="K27" s="14"/>
    </row>
    <row r="28" spans="1:11" x14ac:dyDescent="0.25">
      <c r="A28" s="2">
        <v>45921</v>
      </c>
      <c r="B28" s="12" t="s">
        <v>2</v>
      </c>
      <c r="C28" s="13"/>
      <c r="D28" s="13"/>
      <c r="E28" s="13"/>
      <c r="F28" s="13"/>
      <c r="G28" s="13"/>
      <c r="H28" s="13"/>
      <c r="I28" s="13"/>
      <c r="J28" s="13"/>
      <c r="K28" s="14"/>
    </row>
    <row r="29" spans="1:11" x14ac:dyDescent="0.25">
      <c r="A29" s="2">
        <v>45922</v>
      </c>
      <c r="B29" s="11">
        <v>18580</v>
      </c>
      <c r="C29" s="11"/>
      <c r="D29" s="11"/>
      <c r="E29" s="12"/>
      <c r="F29" s="13"/>
      <c r="G29" s="14"/>
      <c r="H29" s="11">
        <v>13090</v>
      </c>
      <c r="I29" s="11"/>
      <c r="J29" s="11"/>
      <c r="K29" s="4">
        <f>SUM(B29:J29)</f>
        <v>31670</v>
      </c>
    </row>
    <row r="30" spans="1:11" x14ac:dyDescent="0.25">
      <c r="A30" s="2">
        <v>45923</v>
      </c>
      <c r="B30" s="11">
        <v>14305</v>
      </c>
      <c r="C30" s="11"/>
      <c r="D30" s="11"/>
      <c r="E30" s="12">
        <v>4484</v>
      </c>
      <c r="F30" s="13"/>
      <c r="G30" s="14"/>
      <c r="H30" s="11">
        <v>12548</v>
      </c>
      <c r="I30" s="11"/>
      <c r="J30" s="11"/>
      <c r="K30" s="4">
        <f t="shared" ref="K30:K33" si="3">SUM(B30:J30)</f>
        <v>31337</v>
      </c>
    </row>
    <row r="31" spans="1:11" x14ac:dyDescent="0.25">
      <c r="A31" s="2">
        <v>45924</v>
      </c>
      <c r="B31" s="11">
        <v>16122</v>
      </c>
      <c r="C31" s="11"/>
      <c r="D31" s="11"/>
      <c r="E31" s="12">
        <v>7995</v>
      </c>
      <c r="F31" s="13"/>
      <c r="G31" s="14"/>
      <c r="H31" s="11">
        <v>13402</v>
      </c>
      <c r="I31" s="11"/>
      <c r="J31" s="11"/>
      <c r="K31" s="4">
        <f t="shared" si="3"/>
        <v>37519</v>
      </c>
    </row>
    <row r="32" spans="1:11" x14ac:dyDescent="0.25">
      <c r="A32" s="2">
        <v>45925</v>
      </c>
      <c r="B32" s="11"/>
      <c r="C32" s="11"/>
      <c r="D32" s="11"/>
      <c r="E32" s="12"/>
      <c r="F32" s="13"/>
      <c r="G32" s="14"/>
      <c r="H32" s="11">
        <v>13145</v>
      </c>
      <c r="I32" s="11"/>
      <c r="J32" s="11"/>
      <c r="K32" s="4">
        <f t="shared" si="3"/>
        <v>13145</v>
      </c>
    </row>
    <row r="33" spans="1:11" x14ac:dyDescent="0.25">
      <c r="A33" s="2">
        <v>45926</v>
      </c>
      <c r="B33" s="11">
        <v>15796</v>
      </c>
      <c r="C33" s="11"/>
      <c r="D33" s="11"/>
      <c r="E33" s="12">
        <v>11430</v>
      </c>
      <c r="F33" s="13"/>
      <c r="G33" s="14"/>
      <c r="H33" s="11">
        <v>9570</v>
      </c>
      <c r="I33" s="11"/>
      <c r="J33" s="11"/>
      <c r="K33" s="4">
        <f t="shared" si="3"/>
        <v>36796</v>
      </c>
    </row>
    <row r="34" spans="1:11" x14ac:dyDescent="0.25">
      <c r="A34" s="2">
        <v>45927</v>
      </c>
      <c r="B34" s="12" t="s">
        <v>1</v>
      </c>
      <c r="C34" s="13"/>
      <c r="D34" s="13"/>
      <c r="E34" s="13"/>
      <c r="F34" s="13"/>
      <c r="G34" s="13"/>
      <c r="H34" s="13"/>
      <c r="I34" s="13"/>
      <c r="J34" s="13"/>
      <c r="K34" s="14"/>
    </row>
    <row r="35" spans="1:11" x14ac:dyDescent="0.25">
      <c r="A35" s="2">
        <v>45928</v>
      </c>
      <c r="B35" s="12" t="s">
        <v>2</v>
      </c>
      <c r="C35" s="13"/>
      <c r="D35" s="13"/>
      <c r="E35" s="13"/>
      <c r="F35" s="13"/>
      <c r="G35" s="13"/>
      <c r="H35" s="13"/>
      <c r="I35" s="13"/>
      <c r="J35" s="13"/>
      <c r="K35" s="14"/>
    </row>
    <row r="36" spans="1:11" x14ac:dyDescent="0.25">
      <c r="A36" s="2">
        <v>45929</v>
      </c>
      <c r="B36" s="11">
        <v>19060</v>
      </c>
      <c r="C36" s="11"/>
      <c r="D36" s="11"/>
      <c r="E36" s="12">
        <v>12652</v>
      </c>
      <c r="F36" s="13"/>
      <c r="G36" s="14"/>
      <c r="H36" s="11">
        <v>12670</v>
      </c>
      <c r="I36" s="11"/>
      <c r="J36" s="11"/>
      <c r="K36" s="4">
        <f>SUM(B36:J36)</f>
        <v>44382</v>
      </c>
    </row>
    <row r="37" spans="1:11" x14ac:dyDescent="0.25">
      <c r="A37" s="2">
        <v>45930</v>
      </c>
      <c r="B37" s="11">
        <v>1319</v>
      </c>
      <c r="C37" s="11"/>
      <c r="D37" s="11"/>
      <c r="E37" s="12">
        <v>12454</v>
      </c>
      <c r="F37" s="13"/>
      <c r="G37" s="14"/>
      <c r="H37" s="11">
        <v>2720</v>
      </c>
      <c r="I37" s="11"/>
      <c r="J37" s="11"/>
      <c r="K37" s="4">
        <f>SUM(B37:J37)</f>
        <v>16493</v>
      </c>
    </row>
    <row r="38" spans="1:11" x14ac:dyDescent="0.25">
      <c r="A38" s="7" t="s">
        <v>5</v>
      </c>
      <c r="B38" s="22">
        <f>SUM(B8,B11:D15,B18:D22,B25:D29,B32:D36)</f>
        <v>205306</v>
      </c>
      <c r="C38" s="23"/>
      <c r="D38" s="24"/>
      <c r="E38" s="31">
        <f>SUM(E8,E11:G15,E18:G22,E25:G29,E32:G36)</f>
        <v>94673</v>
      </c>
      <c r="F38" s="32"/>
      <c r="G38" s="33"/>
      <c r="H38" s="22">
        <f>SUM(H8,H11:J15,H18:J22,H25:J29,H32:J36)</f>
        <v>159500</v>
      </c>
      <c r="I38" s="23"/>
      <c r="J38" s="24"/>
      <c r="K38" s="8">
        <f>SUM(K8:K12,K15:K19,K22:K26,K29:K33,K36:K37)</f>
        <v>766282</v>
      </c>
    </row>
  </sheetData>
  <mergeCells count="85">
    <mergeCell ref="B30:D30"/>
    <mergeCell ref="E30:G30"/>
    <mergeCell ref="H30:J30"/>
    <mergeCell ref="B31:D31"/>
    <mergeCell ref="E31:G31"/>
    <mergeCell ref="H31:J31"/>
    <mergeCell ref="A1:K4"/>
    <mergeCell ref="A5:K5"/>
    <mergeCell ref="A6:A7"/>
    <mergeCell ref="B6:D7"/>
    <mergeCell ref="E6:G7"/>
    <mergeCell ref="H6:J7"/>
    <mergeCell ref="K6:K7"/>
    <mergeCell ref="L12:M12"/>
    <mergeCell ref="B8:D8"/>
    <mergeCell ref="E8:G8"/>
    <mergeCell ref="H8:J8"/>
    <mergeCell ref="B11:D11"/>
    <mergeCell ref="E11:G11"/>
    <mergeCell ref="H11:J11"/>
    <mergeCell ref="B9:D9"/>
    <mergeCell ref="E9:G9"/>
    <mergeCell ref="H9:J9"/>
    <mergeCell ref="B10:D10"/>
    <mergeCell ref="E10:G10"/>
    <mergeCell ref="H10:J10"/>
    <mergeCell ref="B16:D16"/>
    <mergeCell ref="E16:G16"/>
    <mergeCell ref="B15:D15"/>
    <mergeCell ref="E15:G15"/>
    <mergeCell ref="H15:J15"/>
    <mergeCell ref="B18:D18"/>
    <mergeCell ref="E18:G18"/>
    <mergeCell ref="H18:J18"/>
    <mergeCell ref="B19:D19"/>
    <mergeCell ref="E19:G19"/>
    <mergeCell ref="H19:J19"/>
    <mergeCell ref="B38:D38"/>
    <mergeCell ref="E38:G38"/>
    <mergeCell ref="H38:J38"/>
    <mergeCell ref="B34:K34"/>
    <mergeCell ref="B35:K35"/>
    <mergeCell ref="B37:D37"/>
    <mergeCell ref="E37:G37"/>
    <mergeCell ref="H37:J37"/>
    <mergeCell ref="B14:K14"/>
    <mergeCell ref="B36:D36"/>
    <mergeCell ref="E36:G36"/>
    <mergeCell ref="H36:J36"/>
    <mergeCell ref="B32:D32"/>
    <mergeCell ref="E32:G32"/>
    <mergeCell ref="H32:J32"/>
    <mergeCell ref="B33:D33"/>
    <mergeCell ref="E33:G33"/>
    <mergeCell ref="H33:J33"/>
    <mergeCell ref="B29:D29"/>
    <mergeCell ref="E29:G29"/>
    <mergeCell ref="H29:J29"/>
    <mergeCell ref="H22:J22"/>
    <mergeCell ref="B25:D25"/>
    <mergeCell ref="E25:G25"/>
    <mergeCell ref="B13:K13"/>
    <mergeCell ref="B12:D12"/>
    <mergeCell ref="E12:G12"/>
    <mergeCell ref="H12:J12"/>
    <mergeCell ref="B28:K28"/>
    <mergeCell ref="H16:J16"/>
    <mergeCell ref="B17:D17"/>
    <mergeCell ref="E17:G17"/>
    <mergeCell ref="H17:J17"/>
    <mergeCell ref="B20:K20"/>
    <mergeCell ref="B21:K21"/>
    <mergeCell ref="B26:D26"/>
    <mergeCell ref="E26:G26"/>
    <mergeCell ref="H26:J26"/>
    <mergeCell ref="B22:D22"/>
    <mergeCell ref="E22:G22"/>
    <mergeCell ref="B27:K27"/>
    <mergeCell ref="B23:D23"/>
    <mergeCell ref="E23:G23"/>
    <mergeCell ref="H25:J25"/>
    <mergeCell ref="H23:J23"/>
    <mergeCell ref="B24:D24"/>
    <mergeCell ref="E24:G24"/>
    <mergeCell ref="H24:J2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6FB-9E85-46A7-82AA-FE4B3DDC4130}">
  <dimension ref="A1:K39"/>
  <sheetViews>
    <sheetView workbookViewId="0">
      <selection activeCell="E8" sqref="E8:G8"/>
    </sheetView>
  </sheetViews>
  <sheetFormatPr defaultRowHeight="15" x14ac:dyDescent="0.25"/>
  <cols>
    <col min="3" max="3" width="10.7109375" bestFit="1" customWidth="1"/>
    <col min="11" max="11" width="27.7109375" customWidth="1"/>
  </cols>
  <sheetData>
    <row r="1" spans="1:11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x14ac:dyDescent="0.25">
      <c r="A6" s="19" t="s">
        <v>0</v>
      </c>
      <c r="B6" s="20" t="s">
        <v>16</v>
      </c>
      <c r="C6" s="20"/>
      <c r="D6" s="20"/>
      <c r="E6" s="25" t="s">
        <v>21</v>
      </c>
      <c r="F6" s="26"/>
      <c r="G6" s="27"/>
      <c r="H6" s="20" t="s">
        <v>17</v>
      </c>
      <c r="I6" s="20"/>
      <c r="J6" s="20"/>
      <c r="K6" s="21" t="s">
        <v>4</v>
      </c>
    </row>
    <row r="7" spans="1:1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1" x14ac:dyDescent="0.25">
      <c r="A8" s="2">
        <v>45931</v>
      </c>
      <c r="B8" s="11">
        <v>14795</v>
      </c>
      <c r="C8" s="11"/>
      <c r="D8" s="11"/>
      <c r="E8" s="12">
        <v>12810</v>
      </c>
      <c r="F8" s="13"/>
      <c r="G8" s="14"/>
      <c r="H8" s="11"/>
      <c r="I8" s="11"/>
      <c r="J8" s="11"/>
      <c r="K8" s="4">
        <f>SUM(B8,E8,H8)</f>
        <v>27605</v>
      </c>
    </row>
    <row r="9" spans="1:11" x14ac:dyDescent="0.25">
      <c r="A9" s="2">
        <v>45932</v>
      </c>
      <c r="B9" s="11">
        <v>18984</v>
      </c>
      <c r="C9" s="11"/>
      <c r="D9" s="11"/>
      <c r="E9" s="12">
        <v>10965</v>
      </c>
      <c r="F9" s="13"/>
      <c r="G9" s="14"/>
      <c r="H9" s="11">
        <v>14311</v>
      </c>
      <c r="I9" s="11"/>
      <c r="J9" s="11"/>
      <c r="K9" s="4">
        <f t="shared" ref="K9:K38" si="0">SUM(B9,E9,H9)</f>
        <v>44260</v>
      </c>
    </row>
    <row r="10" spans="1:11" x14ac:dyDescent="0.25">
      <c r="A10" s="2">
        <v>45933</v>
      </c>
      <c r="B10" s="11"/>
      <c r="C10" s="11"/>
      <c r="D10" s="11"/>
      <c r="E10" s="12">
        <v>11288</v>
      </c>
      <c r="F10" s="13"/>
      <c r="G10" s="14"/>
      <c r="H10" s="11">
        <v>7222</v>
      </c>
      <c r="I10" s="11"/>
      <c r="J10" s="11"/>
      <c r="K10" s="4">
        <f t="shared" si="0"/>
        <v>18510</v>
      </c>
    </row>
    <row r="11" spans="1:11" x14ac:dyDescent="0.25">
      <c r="A11" s="2">
        <v>45934</v>
      </c>
      <c r="B11" s="12" t="s">
        <v>1</v>
      </c>
      <c r="C11" s="13"/>
      <c r="D11" s="13"/>
      <c r="E11" s="13"/>
      <c r="F11" s="13"/>
      <c r="G11" s="13"/>
      <c r="H11" s="13"/>
      <c r="I11" s="13"/>
      <c r="J11" s="13"/>
      <c r="K11" s="14"/>
    </row>
    <row r="12" spans="1:11" x14ac:dyDescent="0.25">
      <c r="A12" s="2">
        <v>45935</v>
      </c>
      <c r="B12" s="12" t="s">
        <v>2</v>
      </c>
      <c r="C12" s="13"/>
      <c r="D12" s="13"/>
      <c r="E12" s="13"/>
      <c r="F12" s="13"/>
      <c r="G12" s="13"/>
      <c r="H12" s="13"/>
      <c r="I12" s="13"/>
      <c r="J12" s="13"/>
      <c r="K12" s="14"/>
    </row>
    <row r="13" spans="1:11" x14ac:dyDescent="0.25">
      <c r="A13" s="2">
        <v>45936</v>
      </c>
      <c r="B13" s="11">
        <v>27096</v>
      </c>
      <c r="C13" s="11"/>
      <c r="D13" s="11"/>
      <c r="E13" s="12">
        <v>12803</v>
      </c>
      <c r="F13" s="13"/>
      <c r="G13" s="14"/>
      <c r="H13" s="11"/>
      <c r="I13" s="11"/>
      <c r="J13" s="11"/>
      <c r="K13" s="4">
        <f t="shared" si="0"/>
        <v>39899</v>
      </c>
    </row>
    <row r="14" spans="1:11" x14ac:dyDescent="0.25">
      <c r="A14" s="2">
        <v>45937</v>
      </c>
      <c r="B14" s="11">
        <v>19324</v>
      </c>
      <c r="C14" s="11"/>
      <c r="D14" s="11"/>
      <c r="E14" s="12">
        <v>13555</v>
      </c>
      <c r="F14" s="13"/>
      <c r="G14" s="14"/>
      <c r="H14" s="11"/>
      <c r="I14" s="11"/>
      <c r="J14" s="11"/>
      <c r="K14" s="4">
        <f t="shared" si="0"/>
        <v>32879</v>
      </c>
    </row>
    <row r="15" spans="1:11" x14ac:dyDescent="0.25">
      <c r="A15" s="2">
        <v>45938</v>
      </c>
      <c r="B15" s="11">
        <v>18324</v>
      </c>
      <c r="C15" s="11"/>
      <c r="D15" s="11"/>
      <c r="E15" s="12">
        <v>11810</v>
      </c>
      <c r="F15" s="13"/>
      <c r="G15" s="14"/>
      <c r="H15" s="11"/>
      <c r="I15" s="11"/>
      <c r="J15" s="11"/>
      <c r="K15" s="4">
        <f t="shared" si="0"/>
        <v>30134</v>
      </c>
    </row>
    <row r="16" spans="1:11" x14ac:dyDescent="0.25">
      <c r="A16" s="2">
        <v>45939</v>
      </c>
      <c r="B16" s="11">
        <v>18744</v>
      </c>
      <c r="C16" s="11"/>
      <c r="D16" s="11"/>
      <c r="E16" s="12">
        <v>12438</v>
      </c>
      <c r="F16" s="13"/>
      <c r="G16" s="14"/>
      <c r="H16" s="11"/>
      <c r="I16" s="11"/>
      <c r="J16" s="11"/>
      <c r="K16" s="4">
        <f t="shared" si="0"/>
        <v>31182</v>
      </c>
    </row>
    <row r="17" spans="1:11" x14ac:dyDescent="0.25">
      <c r="A17" s="2">
        <v>45940</v>
      </c>
      <c r="B17" s="11">
        <v>14212</v>
      </c>
      <c r="C17" s="11"/>
      <c r="D17" s="11"/>
      <c r="E17" s="12">
        <v>10438</v>
      </c>
      <c r="F17" s="13"/>
      <c r="G17" s="14"/>
      <c r="H17" s="11"/>
      <c r="I17" s="11"/>
      <c r="J17" s="11"/>
      <c r="K17" s="4">
        <f t="shared" si="0"/>
        <v>24650</v>
      </c>
    </row>
    <row r="18" spans="1:11" x14ac:dyDescent="0.25">
      <c r="A18" s="2">
        <v>45941</v>
      </c>
      <c r="B18" s="12" t="s">
        <v>1</v>
      </c>
      <c r="C18" s="13"/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2">
        <v>45942</v>
      </c>
      <c r="B19" s="12" t="s">
        <v>8</v>
      </c>
      <c r="C19" s="13"/>
      <c r="D19" s="13"/>
      <c r="E19" s="13"/>
      <c r="F19" s="13"/>
      <c r="G19" s="13"/>
      <c r="H19" s="13"/>
      <c r="I19" s="13"/>
      <c r="J19" s="13"/>
      <c r="K19" s="14"/>
    </row>
    <row r="20" spans="1:11" x14ac:dyDescent="0.25">
      <c r="A20" s="2">
        <v>45943</v>
      </c>
      <c r="B20" s="11"/>
      <c r="C20" s="11"/>
      <c r="D20" s="11"/>
      <c r="E20" s="12">
        <v>11607</v>
      </c>
      <c r="F20" s="13"/>
      <c r="G20" s="14"/>
      <c r="H20" s="11"/>
      <c r="I20" s="11"/>
      <c r="J20" s="11"/>
      <c r="K20" s="4">
        <f t="shared" si="0"/>
        <v>11607</v>
      </c>
    </row>
    <row r="21" spans="1:11" x14ac:dyDescent="0.25">
      <c r="A21" s="2">
        <v>45944</v>
      </c>
      <c r="B21" s="11"/>
      <c r="C21" s="11"/>
      <c r="D21" s="11"/>
      <c r="E21" s="12">
        <v>10390</v>
      </c>
      <c r="F21" s="13"/>
      <c r="G21" s="14"/>
      <c r="H21" s="11"/>
      <c r="I21" s="11"/>
      <c r="J21" s="11"/>
      <c r="K21" s="4">
        <f t="shared" si="0"/>
        <v>10390</v>
      </c>
    </row>
    <row r="22" spans="1:11" x14ac:dyDescent="0.25">
      <c r="A22" s="2">
        <v>45945</v>
      </c>
      <c r="B22" s="11"/>
      <c r="C22" s="11"/>
      <c r="D22" s="11"/>
      <c r="E22" s="12">
        <v>11391</v>
      </c>
      <c r="F22" s="13"/>
      <c r="G22" s="14"/>
      <c r="H22" s="11"/>
      <c r="I22" s="11"/>
      <c r="J22" s="11"/>
      <c r="K22" s="4">
        <f t="shared" si="0"/>
        <v>11391</v>
      </c>
    </row>
    <row r="23" spans="1:11" x14ac:dyDescent="0.25">
      <c r="A23" s="2">
        <v>45946</v>
      </c>
      <c r="B23" s="11"/>
      <c r="C23" s="11"/>
      <c r="D23" s="11"/>
      <c r="E23" s="12">
        <v>13770</v>
      </c>
      <c r="F23" s="13"/>
      <c r="G23" s="14"/>
      <c r="H23" s="11"/>
      <c r="I23" s="11"/>
      <c r="J23" s="11"/>
      <c r="K23" s="4">
        <f t="shared" si="0"/>
        <v>13770</v>
      </c>
    </row>
    <row r="24" spans="1:11" x14ac:dyDescent="0.25">
      <c r="A24" s="2">
        <v>45947</v>
      </c>
      <c r="B24" s="11"/>
      <c r="C24" s="11"/>
      <c r="D24" s="11"/>
      <c r="E24" s="12">
        <v>12216</v>
      </c>
      <c r="F24" s="13"/>
      <c r="G24" s="14"/>
      <c r="H24" s="11"/>
      <c r="I24" s="11"/>
      <c r="J24" s="11"/>
      <c r="K24" s="4">
        <f t="shared" si="0"/>
        <v>12216</v>
      </c>
    </row>
    <row r="25" spans="1:11" x14ac:dyDescent="0.25">
      <c r="A25" s="2">
        <v>45948</v>
      </c>
      <c r="B25" s="12" t="s">
        <v>1</v>
      </c>
      <c r="C25" s="13"/>
      <c r="D25" s="13"/>
      <c r="E25" s="13"/>
      <c r="F25" s="13"/>
      <c r="G25" s="13"/>
      <c r="H25" s="13"/>
      <c r="I25" s="13"/>
      <c r="J25" s="13"/>
      <c r="K25" s="14"/>
    </row>
    <row r="26" spans="1:11" x14ac:dyDescent="0.25">
      <c r="A26" s="2">
        <v>45949</v>
      </c>
      <c r="B26" s="12" t="s">
        <v>2</v>
      </c>
      <c r="C26" s="13"/>
      <c r="D26" s="13"/>
      <c r="E26" s="13"/>
      <c r="F26" s="13"/>
      <c r="G26" s="13"/>
      <c r="H26" s="13"/>
      <c r="I26" s="13"/>
      <c r="J26" s="13"/>
      <c r="K26" s="14"/>
    </row>
    <row r="27" spans="1:11" x14ac:dyDescent="0.25">
      <c r="A27" s="2">
        <v>45950</v>
      </c>
      <c r="B27" s="11"/>
      <c r="C27" s="11"/>
      <c r="D27" s="11"/>
      <c r="E27" s="12">
        <v>15920</v>
      </c>
      <c r="F27" s="13"/>
      <c r="G27" s="14"/>
      <c r="H27" s="11"/>
      <c r="I27" s="11"/>
      <c r="J27" s="11"/>
      <c r="K27" s="4">
        <f t="shared" si="0"/>
        <v>15920</v>
      </c>
    </row>
    <row r="28" spans="1:11" x14ac:dyDescent="0.25">
      <c r="A28" s="2">
        <v>45951</v>
      </c>
      <c r="B28" s="11"/>
      <c r="C28" s="11"/>
      <c r="D28" s="11"/>
      <c r="E28" s="12">
        <v>17074</v>
      </c>
      <c r="F28" s="13"/>
      <c r="G28" s="14"/>
      <c r="H28" s="11"/>
      <c r="I28" s="11"/>
      <c r="J28" s="11"/>
      <c r="K28" s="4">
        <f t="shared" si="0"/>
        <v>17074</v>
      </c>
    </row>
    <row r="29" spans="1:11" x14ac:dyDescent="0.25">
      <c r="A29" s="2">
        <v>45952</v>
      </c>
      <c r="B29" s="11"/>
      <c r="C29" s="11"/>
      <c r="D29" s="11"/>
      <c r="E29" s="12">
        <v>16645</v>
      </c>
      <c r="F29" s="13"/>
      <c r="G29" s="14"/>
      <c r="H29" s="11">
        <v>10845</v>
      </c>
      <c r="I29" s="11"/>
      <c r="J29" s="11"/>
      <c r="K29" s="4">
        <f t="shared" si="0"/>
        <v>27490</v>
      </c>
    </row>
    <row r="30" spans="1:11" x14ac:dyDescent="0.25">
      <c r="A30" s="2">
        <v>45953</v>
      </c>
      <c r="B30" s="11">
        <v>16770</v>
      </c>
      <c r="C30" s="11"/>
      <c r="D30" s="11"/>
      <c r="E30" s="12">
        <v>13715</v>
      </c>
      <c r="F30" s="13"/>
      <c r="G30" s="14"/>
      <c r="H30" s="11"/>
      <c r="I30" s="11"/>
      <c r="J30" s="11"/>
      <c r="K30" s="4">
        <f t="shared" si="0"/>
        <v>30485</v>
      </c>
    </row>
    <row r="31" spans="1:11" x14ac:dyDescent="0.25">
      <c r="A31" s="2">
        <v>45954</v>
      </c>
      <c r="B31" s="11"/>
      <c r="C31" s="11"/>
      <c r="D31" s="11"/>
      <c r="E31" s="12">
        <v>11082</v>
      </c>
      <c r="F31" s="13"/>
      <c r="G31" s="14"/>
      <c r="H31" s="11">
        <v>11760</v>
      </c>
      <c r="I31" s="11"/>
      <c r="J31" s="11"/>
      <c r="K31" s="4">
        <f t="shared" si="0"/>
        <v>22842</v>
      </c>
    </row>
    <row r="32" spans="1:11" x14ac:dyDescent="0.25">
      <c r="A32" s="2">
        <v>45955</v>
      </c>
      <c r="B32" s="12" t="s">
        <v>1</v>
      </c>
      <c r="C32" s="13"/>
      <c r="D32" s="13"/>
      <c r="E32" s="13"/>
      <c r="F32" s="13"/>
      <c r="G32" s="13"/>
      <c r="H32" s="13"/>
      <c r="I32" s="13"/>
      <c r="J32" s="13"/>
      <c r="K32" s="14"/>
    </row>
    <row r="33" spans="1:11" x14ac:dyDescent="0.25">
      <c r="A33" s="2">
        <v>45956</v>
      </c>
      <c r="B33" s="12" t="s">
        <v>2</v>
      </c>
      <c r="C33" s="13"/>
      <c r="D33" s="13"/>
      <c r="E33" s="13"/>
      <c r="F33" s="13"/>
      <c r="G33" s="13"/>
      <c r="H33" s="13"/>
      <c r="I33" s="13"/>
      <c r="J33" s="13"/>
      <c r="K33" s="14"/>
    </row>
    <row r="34" spans="1:11" x14ac:dyDescent="0.25">
      <c r="A34" s="2">
        <v>45957</v>
      </c>
      <c r="B34" s="12" t="s">
        <v>11</v>
      </c>
      <c r="C34" s="13"/>
      <c r="D34" s="13"/>
      <c r="E34" s="13"/>
      <c r="F34" s="13"/>
      <c r="G34" s="13"/>
      <c r="H34" s="13"/>
      <c r="I34" s="13"/>
      <c r="J34" s="13"/>
      <c r="K34" s="14"/>
    </row>
    <row r="35" spans="1:11" x14ac:dyDescent="0.25">
      <c r="A35" s="2">
        <v>45958</v>
      </c>
      <c r="B35" s="11">
        <v>21806</v>
      </c>
      <c r="C35" s="11"/>
      <c r="D35" s="11"/>
      <c r="E35" s="12">
        <v>14574</v>
      </c>
      <c r="F35" s="13"/>
      <c r="G35" s="14"/>
      <c r="H35" s="11"/>
      <c r="I35" s="11"/>
      <c r="J35" s="11"/>
      <c r="K35" s="4">
        <f t="shared" si="0"/>
        <v>36380</v>
      </c>
    </row>
    <row r="36" spans="1:11" x14ac:dyDescent="0.25">
      <c r="A36" s="2">
        <v>45959</v>
      </c>
      <c r="B36" s="11">
        <v>21177</v>
      </c>
      <c r="C36" s="11"/>
      <c r="D36" s="11"/>
      <c r="E36" s="12">
        <v>15343</v>
      </c>
      <c r="F36" s="13"/>
      <c r="G36" s="14"/>
      <c r="H36" s="11"/>
      <c r="I36" s="11"/>
      <c r="J36" s="11"/>
      <c r="K36" s="4">
        <f t="shared" si="0"/>
        <v>36520</v>
      </c>
    </row>
    <row r="37" spans="1:11" x14ac:dyDescent="0.25">
      <c r="A37" s="2">
        <v>45960</v>
      </c>
      <c r="B37" s="11">
        <v>17666</v>
      </c>
      <c r="C37" s="11"/>
      <c r="D37" s="11"/>
      <c r="E37" s="12">
        <v>12408</v>
      </c>
      <c r="F37" s="13"/>
      <c r="G37" s="14"/>
      <c r="H37" s="11"/>
      <c r="I37" s="11"/>
      <c r="J37" s="11"/>
      <c r="K37" s="4">
        <f t="shared" si="0"/>
        <v>30074</v>
      </c>
    </row>
    <row r="38" spans="1:11" x14ac:dyDescent="0.25">
      <c r="A38" s="2">
        <v>45961</v>
      </c>
      <c r="B38" s="11">
        <v>11897</v>
      </c>
      <c r="C38" s="11"/>
      <c r="D38" s="11"/>
      <c r="E38" s="12">
        <v>10765</v>
      </c>
      <c r="F38" s="13"/>
      <c r="G38" s="14"/>
      <c r="H38" s="11"/>
      <c r="I38" s="11"/>
      <c r="J38" s="11"/>
      <c r="K38" s="4">
        <f t="shared" si="0"/>
        <v>22662</v>
      </c>
    </row>
    <row r="39" spans="1:11" x14ac:dyDescent="0.25">
      <c r="A39" s="7" t="s">
        <v>5</v>
      </c>
      <c r="B39" s="22">
        <f>SUM(B8:D10,B13:D17,B20:D24,B27:D31,B34:D38)</f>
        <v>220795</v>
      </c>
      <c r="C39" s="23"/>
      <c r="D39" s="24"/>
      <c r="E39" s="31">
        <f>SUM(E8:G10,E13:G17,E20:G24,E27:G31,E34:G38)</f>
        <v>283007</v>
      </c>
      <c r="F39" s="32"/>
      <c r="G39" s="33"/>
      <c r="H39" s="22">
        <f>SUM(H8:J10,H13:J17,H20:J24,H27:J31,H34:J38)</f>
        <v>44138</v>
      </c>
      <c r="I39" s="23"/>
      <c r="J39" s="24"/>
      <c r="K39" s="8">
        <f>SUM(K8:K10,K13:K17,K20:K24,K27:K31,K34:K38)</f>
        <v>547940</v>
      </c>
    </row>
  </sheetData>
  <mergeCells count="85">
    <mergeCell ref="H38:J38"/>
    <mergeCell ref="H35:J35"/>
    <mergeCell ref="H36:J36"/>
    <mergeCell ref="H37:J37"/>
    <mergeCell ref="H22:J22"/>
    <mergeCell ref="H23:J23"/>
    <mergeCell ref="H24:J24"/>
    <mergeCell ref="H27:J27"/>
    <mergeCell ref="H28:J28"/>
    <mergeCell ref="E35:G35"/>
    <mergeCell ref="B34:K34"/>
    <mergeCell ref="E36:G36"/>
    <mergeCell ref="E37:G37"/>
    <mergeCell ref="E27:G27"/>
    <mergeCell ref="H31:J31"/>
    <mergeCell ref="H30:J30"/>
    <mergeCell ref="B37:D37"/>
    <mergeCell ref="H13:J13"/>
    <mergeCell ref="E28:G28"/>
    <mergeCell ref="E29:G29"/>
    <mergeCell ref="H29:J29"/>
    <mergeCell ref="B11:K11"/>
    <mergeCell ref="B12:K12"/>
    <mergeCell ref="E22:G22"/>
    <mergeCell ref="E23:G23"/>
    <mergeCell ref="E24:G24"/>
    <mergeCell ref="E21:G21"/>
    <mergeCell ref="H14:J14"/>
    <mergeCell ref="H15:J15"/>
    <mergeCell ref="H16:J16"/>
    <mergeCell ref="H17:J17"/>
    <mergeCell ref="H20:J20"/>
    <mergeCell ref="H21:J21"/>
    <mergeCell ref="B38:D38"/>
    <mergeCell ref="E9:G9"/>
    <mergeCell ref="E10:G10"/>
    <mergeCell ref="E13:G13"/>
    <mergeCell ref="E14:G14"/>
    <mergeCell ref="E15:G15"/>
    <mergeCell ref="B30:D30"/>
    <mergeCell ref="B31:D31"/>
    <mergeCell ref="B35:D35"/>
    <mergeCell ref="E16:G16"/>
    <mergeCell ref="E17:G17"/>
    <mergeCell ref="E20:G20"/>
    <mergeCell ref="E38:G38"/>
    <mergeCell ref="E30:G30"/>
    <mergeCell ref="E31:G31"/>
    <mergeCell ref="B13:D13"/>
    <mergeCell ref="B14:D14"/>
    <mergeCell ref="B15:D15"/>
    <mergeCell ref="B16:D16"/>
    <mergeCell ref="B28:D28"/>
    <mergeCell ref="B27:D27"/>
    <mergeCell ref="B17:D17"/>
    <mergeCell ref="A1:K4"/>
    <mergeCell ref="A5:K5"/>
    <mergeCell ref="A6:A7"/>
    <mergeCell ref="B6:D7"/>
    <mergeCell ref="E6:G7"/>
    <mergeCell ref="H6:J7"/>
    <mergeCell ref="K6:K7"/>
    <mergeCell ref="B8:D8"/>
    <mergeCell ref="E8:G8"/>
    <mergeCell ref="H8:J8"/>
    <mergeCell ref="B9:D9"/>
    <mergeCell ref="B10:D10"/>
    <mergeCell ref="H9:J9"/>
    <mergeCell ref="H10:J10"/>
    <mergeCell ref="B39:D39"/>
    <mergeCell ref="E39:G39"/>
    <mergeCell ref="H39:J39"/>
    <mergeCell ref="B18:K18"/>
    <mergeCell ref="B19:K19"/>
    <mergeCell ref="B25:K25"/>
    <mergeCell ref="B26:K26"/>
    <mergeCell ref="B32:K32"/>
    <mergeCell ref="B33:K33"/>
    <mergeCell ref="B29:D29"/>
    <mergeCell ref="B20:D20"/>
    <mergeCell ref="B21:D21"/>
    <mergeCell ref="B22:D22"/>
    <mergeCell ref="B23:D23"/>
    <mergeCell ref="B24:D24"/>
    <mergeCell ref="B36:D3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4A91-DD80-40C0-949A-0FC142989C11}">
  <dimension ref="A1:K38"/>
  <sheetViews>
    <sheetView workbookViewId="0">
      <selection activeCell="B8" sqref="B8:K8"/>
    </sheetView>
  </sheetViews>
  <sheetFormatPr defaultRowHeight="15" x14ac:dyDescent="0.25"/>
  <cols>
    <col min="3" max="3" width="10.7109375" bestFit="1" customWidth="1"/>
    <col min="11" max="11" width="27.7109375" customWidth="1"/>
  </cols>
  <sheetData>
    <row r="1" spans="1:11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x14ac:dyDescent="0.25">
      <c r="A6" s="19" t="s">
        <v>0</v>
      </c>
      <c r="B6" s="20" t="s">
        <v>16</v>
      </c>
      <c r="C6" s="20"/>
      <c r="D6" s="20"/>
      <c r="E6" s="25" t="s">
        <v>21</v>
      </c>
      <c r="F6" s="26"/>
      <c r="G6" s="27"/>
      <c r="H6" s="20" t="s">
        <v>23</v>
      </c>
      <c r="I6" s="20"/>
      <c r="J6" s="20"/>
      <c r="K6" s="21" t="s">
        <v>4</v>
      </c>
    </row>
    <row r="7" spans="1:1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1" x14ac:dyDescent="0.25">
      <c r="A8" s="2">
        <v>45962</v>
      </c>
      <c r="B8" s="12" t="s">
        <v>1</v>
      </c>
      <c r="C8" s="13"/>
      <c r="D8" s="13"/>
      <c r="E8" s="13"/>
      <c r="F8" s="13"/>
      <c r="G8" s="13"/>
      <c r="H8" s="13"/>
      <c r="I8" s="13"/>
      <c r="J8" s="13"/>
      <c r="K8" s="14"/>
    </row>
    <row r="9" spans="1:11" x14ac:dyDescent="0.25">
      <c r="A9" s="2">
        <v>45963</v>
      </c>
      <c r="B9" s="12" t="s">
        <v>8</v>
      </c>
      <c r="C9" s="13"/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2">
        <v>45964</v>
      </c>
      <c r="B10" s="11">
        <v>16521</v>
      </c>
      <c r="C10" s="11"/>
      <c r="D10" s="11"/>
      <c r="E10" s="12">
        <v>14199</v>
      </c>
      <c r="F10" s="13"/>
      <c r="G10" s="14"/>
      <c r="H10" s="11"/>
      <c r="I10" s="11"/>
      <c r="J10" s="11"/>
      <c r="K10" s="4">
        <f>SUM(B10,E10,H10)</f>
        <v>30720</v>
      </c>
    </row>
    <row r="11" spans="1:11" x14ac:dyDescent="0.25">
      <c r="A11" s="2">
        <v>45965</v>
      </c>
      <c r="B11" s="11">
        <v>18296</v>
      </c>
      <c r="C11" s="11"/>
      <c r="D11" s="11"/>
      <c r="E11" s="12">
        <v>12084</v>
      </c>
      <c r="F11" s="13"/>
      <c r="G11" s="14"/>
      <c r="H11" s="11"/>
      <c r="I11" s="11"/>
      <c r="J11" s="11"/>
      <c r="K11" s="4">
        <f t="shared" ref="K11:K14" si="0">SUM(B11,E11,H11)</f>
        <v>30380</v>
      </c>
    </row>
    <row r="12" spans="1:11" x14ac:dyDescent="0.25">
      <c r="A12" s="2">
        <v>45966</v>
      </c>
      <c r="B12" s="11">
        <v>21516</v>
      </c>
      <c r="C12" s="11"/>
      <c r="D12" s="11"/>
      <c r="E12" s="12">
        <v>12484</v>
      </c>
      <c r="F12" s="13"/>
      <c r="G12" s="14"/>
      <c r="H12" s="11"/>
      <c r="I12" s="11"/>
      <c r="J12" s="11"/>
      <c r="K12" s="4">
        <f t="shared" si="0"/>
        <v>34000</v>
      </c>
    </row>
    <row r="13" spans="1:11" x14ac:dyDescent="0.25">
      <c r="A13" s="2">
        <v>45967</v>
      </c>
      <c r="B13" s="11">
        <v>17878</v>
      </c>
      <c r="C13" s="11"/>
      <c r="D13" s="11"/>
      <c r="E13" s="12">
        <v>15293</v>
      </c>
      <c r="F13" s="13"/>
      <c r="G13" s="14"/>
      <c r="H13" s="11"/>
      <c r="I13" s="11"/>
      <c r="J13" s="11"/>
      <c r="K13" s="4">
        <f t="shared" si="0"/>
        <v>33171</v>
      </c>
    </row>
    <row r="14" spans="1:11" x14ac:dyDescent="0.25">
      <c r="A14" s="2">
        <v>45968</v>
      </c>
      <c r="B14" s="11">
        <v>13254</v>
      </c>
      <c r="C14" s="11"/>
      <c r="D14" s="11"/>
      <c r="E14" s="12">
        <v>12431</v>
      </c>
      <c r="F14" s="13"/>
      <c r="G14" s="14"/>
      <c r="H14" s="11"/>
      <c r="I14" s="11"/>
      <c r="J14" s="11"/>
      <c r="K14" s="4">
        <f t="shared" si="0"/>
        <v>25685</v>
      </c>
    </row>
    <row r="15" spans="1:11" x14ac:dyDescent="0.25">
      <c r="A15" s="2">
        <v>45969</v>
      </c>
      <c r="B15" s="12" t="s">
        <v>1</v>
      </c>
      <c r="C15" s="13"/>
      <c r="D15" s="13"/>
      <c r="E15" s="13"/>
      <c r="F15" s="13"/>
      <c r="G15" s="13"/>
      <c r="H15" s="13"/>
      <c r="I15" s="13"/>
      <c r="J15" s="13"/>
      <c r="K15" s="14"/>
    </row>
    <row r="16" spans="1:11" x14ac:dyDescent="0.25">
      <c r="A16" s="2">
        <v>45970</v>
      </c>
      <c r="B16" s="12" t="s">
        <v>2</v>
      </c>
      <c r="C16" s="13"/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2">
        <v>45971</v>
      </c>
      <c r="B17" s="11">
        <v>18872</v>
      </c>
      <c r="C17" s="11"/>
      <c r="D17" s="11"/>
      <c r="E17" s="12">
        <v>19098</v>
      </c>
      <c r="F17" s="13"/>
      <c r="G17" s="14"/>
      <c r="H17" s="11"/>
      <c r="I17" s="11"/>
      <c r="J17" s="11"/>
      <c r="K17" s="4">
        <f>SUM(B17,E17,H17)</f>
        <v>37970</v>
      </c>
    </row>
    <row r="18" spans="1:11" x14ac:dyDescent="0.25">
      <c r="A18" s="2">
        <v>45972</v>
      </c>
      <c r="B18" s="11">
        <v>18839</v>
      </c>
      <c r="C18" s="11"/>
      <c r="D18" s="11"/>
      <c r="E18" s="12">
        <v>15128</v>
      </c>
      <c r="F18" s="13"/>
      <c r="G18" s="14"/>
      <c r="H18" s="11"/>
      <c r="I18" s="11"/>
      <c r="J18" s="11"/>
      <c r="K18" s="4">
        <f t="shared" ref="K18:K21" si="1">SUM(B18,E18,H18)</f>
        <v>33967</v>
      </c>
    </row>
    <row r="19" spans="1:11" x14ac:dyDescent="0.25">
      <c r="A19" s="2">
        <v>45973</v>
      </c>
      <c r="B19" s="11">
        <v>22431</v>
      </c>
      <c r="C19" s="11"/>
      <c r="D19" s="11"/>
      <c r="E19" s="12">
        <v>14656</v>
      </c>
      <c r="F19" s="13"/>
      <c r="G19" s="14"/>
      <c r="H19" s="11"/>
      <c r="I19" s="11"/>
      <c r="J19" s="11"/>
      <c r="K19" s="4">
        <f t="shared" si="1"/>
        <v>37087</v>
      </c>
    </row>
    <row r="20" spans="1:11" x14ac:dyDescent="0.25">
      <c r="A20" s="2">
        <v>45974</v>
      </c>
      <c r="B20" s="11">
        <v>16895</v>
      </c>
      <c r="C20" s="11"/>
      <c r="D20" s="11"/>
      <c r="E20" s="12">
        <v>14441</v>
      </c>
      <c r="F20" s="13"/>
      <c r="G20" s="14"/>
      <c r="H20" s="11"/>
      <c r="I20" s="11"/>
      <c r="J20" s="11"/>
      <c r="K20" s="4">
        <f t="shared" si="1"/>
        <v>31336</v>
      </c>
    </row>
    <row r="21" spans="1:11" x14ac:dyDescent="0.25">
      <c r="A21" s="2">
        <v>45975</v>
      </c>
      <c r="B21" s="11">
        <v>8998</v>
      </c>
      <c r="C21" s="11"/>
      <c r="D21" s="11"/>
      <c r="E21" s="12">
        <v>13007</v>
      </c>
      <c r="F21" s="13"/>
      <c r="G21" s="14"/>
      <c r="H21" s="11"/>
      <c r="I21" s="11"/>
      <c r="J21" s="11"/>
      <c r="K21" s="4">
        <f t="shared" si="1"/>
        <v>22005</v>
      </c>
    </row>
    <row r="22" spans="1:11" x14ac:dyDescent="0.25">
      <c r="A22" s="2">
        <v>45976</v>
      </c>
      <c r="B22" s="12" t="s">
        <v>8</v>
      </c>
      <c r="C22" s="13"/>
      <c r="D22" s="13"/>
      <c r="E22" s="13"/>
      <c r="F22" s="13"/>
      <c r="G22" s="13"/>
      <c r="H22" s="13"/>
      <c r="I22" s="13"/>
      <c r="J22" s="13"/>
      <c r="K22" s="14"/>
    </row>
    <row r="23" spans="1:11" x14ac:dyDescent="0.25">
      <c r="A23" s="2">
        <v>45977</v>
      </c>
      <c r="B23" s="12" t="s">
        <v>2</v>
      </c>
      <c r="C23" s="13"/>
      <c r="D23" s="13"/>
      <c r="E23" s="13"/>
      <c r="F23" s="13"/>
      <c r="G23" s="13"/>
      <c r="H23" s="13"/>
      <c r="I23" s="13"/>
      <c r="J23" s="13"/>
      <c r="K23" s="14"/>
    </row>
    <row r="24" spans="1:11" x14ac:dyDescent="0.25">
      <c r="A24" s="2">
        <v>45978</v>
      </c>
      <c r="B24" s="11">
        <v>21245</v>
      </c>
      <c r="C24" s="11"/>
      <c r="D24" s="11"/>
      <c r="E24" s="12">
        <v>14069</v>
      </c>
      <c r="F24" s="13"/>
      <c r="G24" s="14"/>
      <c r="H24" s="11"/>
      <c r="I24" s="11"/>
      <c r="J24" s="11"/>
      <c r="K24" s="4">
        <f>SUM(B24,E24,H24)</f>
        <v>35314</v>
      </c>
    </row>
    <row r="25" spans="1:11" x14ac:dyDescent="0.25">
      <c r="A25" s="2">
        <v>45979</v>
      </c>
      <c r="B25" s="11">
        <v>20604</v>
      </c>
      <c r="C25" s="11"/>
      <c r="D25" s="11"/>
      <c r="E25" s="12">
        <v>13309</v>
      </c>
      <c r="F25" s="13"/>
      <c r="G25" s="14"/>
      <c r="H25" s="11"/>
      <c r="I25" s="11"/>
      <c r="J25" s="11"/>
      <c r="K25" s="4">
        <f t="shared" ref="K25:K26" si="2">SUM(B25,E25,H25)</f>
        <v>33913</v>
      </c>
    </row>
    <row r="26" spans="1:11" x14ac:dyDescent="0.25">
      <c r="A26" s="2">
        <v>45980</v>
      </c>
      <c r="B26" s="11">
        <v>2869</v>
      </c>
      <c r="C26" s="11"/>
      <c r="D26" s="11"/>
      <c r="E26" s="12">
        <v>10636</v>
      </c>
      <c r="F26" s="13"/>
      <c r="G26" s="14"/>
      <c r="H26" s="11"/>
      <c r="I26" s="11"/>
      <c r="J26" s="11"/>
      <c r="K26" s="4">
        <f t="shared" si="2"/>
        <v>13505</v>
      </c>
    </row>
    <row r="27" spans="1:11" x14ac:dyDescent="0.25">
      <c r="A27" s="2">
        <v>45981</v>
      </c>
      <c r="B27" s="12" t="s">
        <v>8</v>
      </c>
      <c r="C27" s="13"/>
      <c r="D27" s="13"/>
      <c r="E27" s="13"/>
      <c r="F27" s="13"/>
      <c r="G27" s="13"/>
      <c r="H27" s="13"/>
      <c r="I27" s="13"/>
      <c r="J27" s="13"/>
      <c r="K27" s="14"/>
    </row>
    <row r="28" spans="1:11" x14ac:dyDescent="0.25">
      <c r="A28" s="2">
        <v>45982</v>
      </c>
      <c r="B28" s="11">
        <v>19268</v>
      </c>
      <c r="C28" s="11"/>
      <c r="D28" s="11"/>
      <c r="E28" s="12">
        <v>12080</v>
      </c>
      <c r="F28" s="13"/>
      <c r="G28" s="14"/>
      <c r="H28" s="11"/>
      <c r="I28" s="11"/>
      <c r="J28" s="11"/>
      <c r="K28" s="4">
        <f>SUM(B28,E28,H28)</f>
        <v>31348</v>
      </c>
    </row>
    <row r="29" spans="1:11" x14ac:dyDescent="0.25">
      <c r="A29" s="2">
        <v>45983</v>
      </c>
      <c r="B29" s="12" t="s">
        <v>1</v>
      </c>
      <c r="C29" s="13"/>
      <c r="D29" s="13"/>
      <c r="E29" s="13"/>
      <c r="F29" s="13"/>
      <c r="G29" s="13"/>
      <c r="H29" s="13"/>
      <c r="I29" s="13"/>
      <c r="J29" s="13"/>
      <c r="K29" s="14"/>
    </row>
    <row r="30" spans="1:11" x14ac:dyDescent="0.25">
      <c r="A30" s="2">
        <v>45984</v>
      </c>
      <c r="B30" s="12" t="s">
        <v>2</v>
      </c>
      <c r="C30" s="13"/>
      <c r="D30" s="13"/>
      <c r="E30" s="13"/>
      <c r="F30" s="13"/>
      <c r="G30" s="13"/>
      <c r="H30" s="13"/>
      <c r="I30" s="13"/>
      <c r="J30" s="13"/>
      <c r="K30" s="14"/>
    </row>
    <row r="31" spans="1:11" x14ac:dyDescent="0.25">
      <c r="A31" s="2">
        <v>45985</v>
      </c>
      <c r="B31" s="11">
        <v>17478</v>
      </c>
      <c r="C31" s="11"/>
      <c r="D31" s="11"/>
      <c r="E31" s="12">
        <v>12395</v>
      </c>
      <c r="F31" s="13"/>
      <c r="G31" s="14"/>
      <c r="H31" s="11"/>
      <c r="I31" s="11"/>
      <c r="J31" s="11"/>
      <c r="K31" s="4">
        <f>SUM(B31,E31,H31)</f>
        <v>29873</v>
      </c>
    </row>
    <row r="32" spans="1:11" x14ac:dyDescent="0.25">
      <c r="A32" s="2">
        <v>45986</v>
      </c>
      <c r="B32" s="11"/>
      <c r="C32" s="11"/>
      <c r="D32" s="11"/>
      <c r="E32" s="12">
        <v>10720</v>
      </c>
      <c r="F32" s="13"/>
      <c r="G32" s="14"/>
      <c r="H32" s="11"/>
      <c r="I32" s="11"/>
      <c r="J32" s="11"/>
      <c r="K32" s="4">
        <f t="shared" ref="K32:K35" si="3">SUM(B32,E32,H32)</f>
        <v>10720</v>
      </c>
    </row>
    <row r="33" spans="1:11" x14ac:dyDescent="0.25">
      <c r="A33" s="2">
        <v>45987</v>
      </c>
      <c r="B33" s="11"/>
      <c r="C33" s="11"/>
      <c r="D33" s="11"/>
      <c r="E33" s="12"/>
      <c r="F33" s="13"/>
      <c r="G33" s="14"/>
      <c r="H33" s="11"/>
      <c r="I33" s="11"/>
      <c r="J33" s="11"/>
      <c r="K33" s="4">
        <f t="shared" si="3"/>
        <v>0</v>
      </c>
    </row>
    <row r="34" spans="1:11" x14ac:dyDescent="0.25">
      <c r="A34" s="2">
        <v>45988</v>
      </c>
      <c r="B34" s="11"/>
      <c r="C34" s="11"/>
      <c r="D34" s="11"/>
      <c r="E34" s="12">
        <v>10612</v>
      </c>
      <c r="F34" s="13"/>
      <c r="G34" s="14"/>
      <c r="H34" s="11">
        <v>7813</v>
      </c>
      <c r="I34" s="11"/>
      <c r="J34" s="11"/>
      <c r="K34" s="4">
        <f t="shared" si="3"/>
        <v>18425</v>
      </c>
    </row>
    <row r="35" spans="1:11" x14ac:dyDescent="0.25">
      <c r="A35" s="2">
        <v>45989</v>
      </c>
      <c r="B35" s="11"/>
      <c r="C35" s="11"/>
      <c r="D35" s="11"/>
      <c r="E35" s="12"/>
      <c r="F35" s="13"/>
      <c r="G35" s="14"/>
      <c r="H35" s="11"/>
      <c r="I35" s="11"/>
      <c r="J35" s="11"/>
      <c r="K35" s="4">
        <f t="shared" si="3"/>
        <v>0</v>
      </c>
    </row>
    <row r="36" spans="1:11" x14ac:dyDescent="0.25">
      <c r="A36" s="2">
        <v>45990</v>
      </c>
      <c r="B36" s="12" t="s">
        <v>1</v>
      </c>
      <c r="C36" s="13"/>
      <c r="D36" s="13"/>
      <c r="E36" s="13"/>
      <c r="F36" s="13"/>
      <c r="G36" s="13"/>
      <c r="H36" s="13"/>
      <c r="I36" s="13"/>
      <c r="J36" s="13"/>
      <c r="K36" s="14"/>
    </row>
    <row r="37" spans="1:11" x14ac:dyDescent="0.25">
      <c r="A37" s="2">
        <v>45991</v>
      </c>
      <c r="B37" s="12" t="s">
        <v>2</v>
      </c>
      <c r="C37" s="13"/>
      <c r="D37" s="13"/>
      <c r="E37" s="13"/>
      <c r="F37" s="13"/>
      <c r="G37" s="13"/>
      <c r="H37" s="13"/>
      <c r="I37" s="13"/>
      <c r="J37" s="13"/>
      <c r="K37" s="14"/>
    </row>
    <row r="38" spans="1:11" x14ac:dyDescent="0.25">
      <c r="A38" s="7" t="s">
        <v>5</v>
      </c>
      <c r="B38" s="22">
        <f>SUM(B10,B11,B12,B13,B14,B17:D21,B24:D26,B28,B31:D34,B35)</f>
        <v>254964</v>
      </c>
      <c r="C38" s="23"/>
      <c r="D38" s="24"/>
      <c r="E38" s="31">
        <f>SUM(E10:G14,E17:G21,E24:G26,E28,E31:G35)</f>
        <v>226642</v>
      </c>
      <c r="F38" s="32"/>
      <c r="G38" s="33"/>
      <c r="H38" s="22">
        <f>SUM(H10:J14,H17:J21,H24:J26,H28,H31:J35)</f>
        <v>7813</v>
      </c>
      <c r="I38" s="23"/>
      <c r="J38" s="24"/>
      <c r="K38" s="8">
        <f>SUM(K10:K14,K17:K21,K24:K26,K28,K31:K35)</f>
        <v>489419</v>
      </c>
    </row>
  </sheetData>
  <mergeCells count="78">
    <mergeCell ref="B18:D18"/>
    <mergeCell ref="E18:G18"/>
    <mergeCell ref="H25:J25"/>
    <mergeCell ref="B26:D26"/>
    <mergeCell ref="E26:G26"/>
    <mergeCell ref="H26:J26"/>
    <mergeCell ref="E20:G20"/>
    <mergeCell ref="H20:J20"/>
    <mergeCell ref="B21:D21"/>
    <mergeCell ref="E21:G21"/>
    <mergeCell ref="H21:J21"/>
    <mergeCell ref="B31:D31"/>
    <mergeCell ref="E31:G31"/>
    <mergeCell ref="H31:J31"/>
    <mergeCell ref="H11:J11"/>
    <mergeCell ref="B12:D12"/>
    <mergeCell ref="E12:G12"/>
    <mergeCell ref="H12:J12"/>
    <mergeCell ref="B15:K15"/>
    <mergeCell ref="B29:K29"/>
    <mergeCell ref="H18:J18"/>
    <mergeCell ref="B19:D19"/>
    <mergeCell ref="E19:G19"/>
    <mergeCell ref="H19:J19"/>
    <mergeCell ref="B22:K22"/>
    <mergeCell ref="B23:K23"/>
    <mergeCell ref="B20:D20"/>
    <mergeCell ref="B35:D35"/>
    <mergeCell ref="E35:G35"/>
    <mergeCell ref="H35:J35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8:D38"/>
    <mergeCell ref="E38:G38"/>
    <mergeCell ref="H38:J38"/>
    <mergeCell ref="B36:K36"/>
    <mergeCell ref="B37:K37"/>
    <mergeCell ref="B30:K30"/>
    <mergeCell ref="B28:D28"/>
    <mergeCell ref="E28:G28"/>
    <mergeCell ref="H28:J28"/>
    <mergeCell ref="B24:D24"/>
    <mergeCell ref="E24:G24"/>
    <mergeCell ref="H24:J24"/>
    <mergeCell ref="B25:D25"/>
    <mergeCell ref="E25:G25"/>
    <mergeCell ref="B27:K27"/>
    <mergeCell ref="B17:D17"/>
    <mergeCell ref="E17:G17"/>
    <mergeCell ref="H17:J17"/>
    <mergeCell ref="B14:D14"/>
    <mergeCell ref="E14:G14"/>
    <mergeCell ref="H14:J14"/>
    <mergeCell ref="B16:K16"/>
    <mergeCell ref="B10:D10"/>
    <mergeCell ref="E10:G10"/>
    <mergeCell ref="H10:J10"/>
    <mergeCell ref="B13:D13"/>
    <mergeCell ref="E13:G13"/>
    <mergeCell ref="H13:J13"/>
    <mergeCell ref="B11:D11"/>
    <mergeCell ref="E11:G11"/>
    <mergeCell ref="B8:K8"/>
    <mergeCell ref="B9:K9"/>
    <mergeCell ref="A1:K4"/>
    <mergeCell ref="A5:K5"/>
    <mergeCell ref="A6:A7"/>
    <mergeCell ref="B6:D7"/>
    <mergeCell ref="E6:G7"/>
    <mergeCell ref="H6:J7"/>
    <mergeCell ref="K6:K7"/>
  </mergeCells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B2B7-C076-42DF-BC3F-A34FA8B7ED49}">
  <dimension ref="A1:K39"/>
  <sheetViews>
    <sheetView workbookViewId="0">
      <selection activeCell="E8" sqref="E8:G8"/>
    </sheetView>
  </sheetViews>
  <sheetFormatPr defaultRowHeight="15" x14ac:dyDescent="0.25"/>
  <cols>
    <col min="1" max="2" width="9.140625" style="1"/>
    <col min="3" max="3" width="10.7109375" style="1" bestFit="1" customWidth="1"/>
    <col min="4" max="10" width="9.140625" style="1"/>
    <col min="11" max="11" width="27.7109375" style="1" customWidth="1"/>
    <col min="12" max="16384" width="9.140625" style="1"/>
  </cols>
  <sheetData>
    <row r="1" spans="1:11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x14ac:dyDescent="0.25">
      <c r="A6" s="19" t="s">
        <v>0</v>
      </c>
      <c r="B6" s="20" t="s">
        <v>16</v>
      </c>
      <c r="C6" s="20"/>
      <c r="D6" s="20"/>
      <c r="E6" s="25" t="s">
        <v>21</v>
      </c>
      <c r="F6" s="26"/>
      <c r="G6" s="27"/>
      <c r="H6" s="20" t="s">
        <v>17</v>
      </c>
      <c r="I6" s="20"/>
      <c r="J6" s="20"/>
      <c r="K6" s="21" t="s">
        <v>4</v>
      </c>
    </row>
    <row r="7" spans="1:1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1" x14ac:dyDescent="0.25">
      <c r="A8" s="2">
        <v>45992</v>
      </c>
      <c r="B8" s="11">
        <v>11673</v>
      </c>
      <c r="C8" s="11"/>
      <c r="D8" s="11"/>
      <c r="E8" s="11">
        <v>11062</v>
      </c>
      <c r="F8" s="11"/>
      <c r="G8" s="11"/>
      <c r="H8" s="11"/>
      <c r="I8" s="11"/>
      <c r="J8" s="11"/>
      <c r="K8" s="9">
        <f>SUM(B8:J8)</f>
        <v>22735</v>
      </c>
    </row>
    <row r="9" spans="1:11" x14ac:dyDescent="0.25">
      <c r="A9" s="2">
        <v>45993</v>
      </c>
      <c r="B9" s="11"/>
      <c r="C9" s="11"/>
      <c r="D9" s="11"/>
      <c r="E9" s="11">
        <v>11971</v>
      </c>
      <c r="F9" s="11"/>
      <c r="G9" s="11"/>
      <c r="H9" s="11"/>
      <c r="I9" s="11"/>
      <c r="J9" s="11"/>
      <c r="K9" s="9">
        <f t="shared" ref="K9:K11" si="0">SUM(B9:J9)</f>
        <v>11971</v>
      </c>
    </row>
    <row r="10" spans="1:11" x14ac:dyDescent="0.25">
      <c r="A10" s="2">
        <v>45994</v>
      </c>
      <c r="B10" s="11"/>
      <c r="C10" s="11"/>
      <c r="D10" s="11"/>
      <c r="E10" s="12">
        <v>11967</v>
      </c>
      <c r="F10" s="13"/>
      <c r="G10" s="14"/>
      <c r="H10" s="11">
        <v>14644</v>
      </c>
      <c r="I10" s="11"/>
      <c r="J10" s="11"/>
      <c r="K10" s="9">
        <f t="shared" si="0"/>
        <v>26611</v>
      </c>
    </row>
    <row r="11" spans="1:11" x14ac:dyDescent="0.25">
      <c r="A11" s="2">
        <v>45995</v>
      </c>
      <c r="B11" s="11">
        <v>13341</v>
      </c>
      <c r="C11" s="11"/>
      <c r="D11" s="11"/>
      <c r="E11" s="12">
        <v>12030</v>
      </c>
      <c r="F11" s="13"/>
      <c r="G11" s="14"/>
      <c r="H11" s="11"/>
      <c r="I11" s="11"/>
      <c r="J11" s="11"/>
      <c r="K11" s="9">
        <f t="shared" si="0"/>
        <v>25371</v>
      </c>
    </row>
    <row r="12" spans="1:11" x14ac:dyDescent="0.25">
      <c r="A12" s="2">
        <v>45996</v>
      </c>
      <c r="B12" s="12" t="s">
        <v>12</v>
      </c>
      <c r="C12" s="13"/>
      <c r="D12" s="13"/>
      <c r="E12" s="13"/>
      <c r="F12" s="13"/>
      <c r="G12" s="13"/>
      <c r="H12" s="13"/>
      <c r="I12" s="13"/>
      <c r="J12" s="13"/>
      <c r="K12" s="14"/>
    </row>
    <row r="13" spans="1:11" x14ac:dyDescent="0.25">
      <c r="A13" s="2">
        <v>45997</v>
      </c>
      <c r="B13" s="12" t="s">
        <v>1</v>
      </c>
      <c r="C13" s="13"/>
      <c r="D13" s="13"/>
      <c r="E13" s="13"/>
      <c r="F13" s="13"/>
      <c r="G13" s="13"/>
      <c r="H13" s="13"/>
      <c r="I13" s="13"/>
      <c r="J13" s="13"/>
      <c r="K13" s="14"/>
    </row>
    <row r="14" spans="1:11" x14ac:dyDescent="0.25">
      <c r="A14" s="2">
        <v>45998</v>
      </c>
      <c r="B14" s="12" t="s">
        <v>2</v>
      </c>
      <c r="C14" s="13"/>
      <c r="D14" s="13"/>
      <c r="E14" s="13"/>
      <c r="F14" s="13"/>
      <c r="G14" s="13"/>
      <c r="H14" s="13"/>
      <c r="I14" s="13"/>
      <c r="J14" s="13"/>
      <c r="K14" s="14"/>
    </row>
    <row r="15" spans="1:11" x14ac:dyDescent="0.25">
      <c r="A15" s="2">
        <v>45999</v>
      </c>
      <c r="B15" s="12" t="s">
        <v>8</v>
      </c>
      <c r="C15" s="13"/>
      <c r="D15" s="13"/>
      <c r="E15" s="13"/>
      <c r="F15" s="13"/>
      <c r="G15" s="13"/>
      <c r="H15" s="13"/>
      <c r="I15" s="13"/>
      <c r="J15" s="13"/>
      <c r="K15" s="14"/>
    </row>
    <row r="16" spans="1:11" x14ac:dyDescent="0.25">
      <c r="A16" s="2">
        <v>46000</v>
      </c>
      <c r="B16" s="11">
        <f>9595 + 15982</f>
        <v>25577</v>
      </c>
      <c r="C16" s="11"/>
      <c r="D16" s="11"/>
      <c r="E16" s="12">
        <f>6700 + 13906</f>
        <v>20606</v>
      </c>
      <c r="F16" s="13"/>
      <c r="G16" s="14"/>
      <c r="H16" s="11"/>
      <c r="I16" s="11"/>
      <c r="J16" s="11"/>
      <c r="K16" s="4">
        <f>SUM(B16:J16)</f>
        <v>46183</v>
      </c>
    </row>
    <row r="17" spans="1:11" x14ac:dyDescent="0.25">
      <c r="A17" s="2">
        <v>46001</v>
      </c>
      <c r="B17" s="11">
        <v>15769</v>
      </c>
      <c r="C17" s="11"/>
      <c r="D17" s="11"/>
      <c r="E17" s="12">
        <v>14071</v>
      </c>
      <c r="F17" s="13"/>
      <c r="G17" s="14"/>
      <c r="H17" s="11"/>
      <c r="I17" s="11"/>
      <c r="J17" s="11"/>
      <c r="K17" s="4">
        <f t="shared" ref="K17:K23" si="1">SUM(B17:J17)</f>
        <v>29840</v>
      </c>
    </row>
    <row r="18" spans="1:11" x14ac:dyDescent="0.25">
      <c r="A18" s="2">
        <v>46002</v>
      </c>
      <c r="B18" s="11">
        <v>15522</v>
      </c>
      <c r="C18" s="11"/>
      <c r="D18" s="11"/>
      <c r="E18" s="12">
        <v>14310</v>
      </c>
      <c r="F18" s="13"/>
      <c r="G18" s="14"/>
      <c r="H18" s="11"/>
      <c r="I18" s="11"/>
      <c r="J18" s="11"/>
      <c r="K18" s="4">
        <f t="shared" si="1"/>
        <v>29832</v>
      </c>
    </row>
    <row r="19" spans="1:11" x14ac:dyDescent="0.25">
      <c r="A19" s="2">
        <v>46003</v>
      </c>
      <c r="B19" s="11">
        <v>12848</v>
      </c>
      <c r="C19" s="11"/>
      <c r="D19" s="11"/>
      <c r="E19" s="12">
        <v>10417</v>
      </c>
      <c r="F19" s="13"/>
      <c r="G19" s="14"/>
      <c r="H19" s="11"/>
      <c r="I19" s="11"/>
      <c r="J19" s="11"/>
      <c r="K19" s="4">
        <f t="shared" si="1"/>
        <v>23265</v>
      </c>
    </row>
    <row r="20" spans="1:11" x14ac:dyDescent="0.25">
      <c r="A20" s="2">
        <v>46004</v>
      </c>
      <c r="B20" s="12" t="s">
        <v>1</v>
      </c>
      <c r="C20" s="13"/>
      <c r="D20" s="13"/>
      <c r="E20" s="13"/>
      <c r="F20" s="13"/>
      <c r="G20" s="13"/>
      <c r="H20" s="13"/>
      <c r="I20" s="13"/>
      <c r="J20" s="13"/>
      <c r="K20" s="14"/>
    </row>
    <row r="21" spans="1:11" x14ac:dyDescent="0.25">
      <c r="A21" s="2">
        <v>46005</v>
      </c>
      <c r="B21" s="12" t="s">
        <v>2</v>
      </c>
      <c r="C21" s="13"/>
      <c r="D21" s="13"/>
      <c r="E21" s="13"/>
      <c r="F21" s="13"/>
      <c r="G21" s="13"/>
      <c r="H21" s="13"/>
      <c r="I21" s="13"/>
      <c r="J21" s="13"/>
      <c r="K21" s="14"/>
    </row>
    <row r="22" spans="1:11" x14ac:dyDescent="0.25">
      <c r="A22" s="2">
        <v>46006</v>
      </c>
      <c r="B22" s="11">
        <v>10105</v>
      </c>
      <c r="C22" s="11"/>
      <c r="D22" s="11"/>
      <c r="E22" s="12">
        <v>12538</v>
      </c>
      <c r="F22" s="13"/>
      <c r="G22" s="14"/>
      <c r="H22" s="11">
        <v>6600</v>
      </c>
      <c r="I22" s="11"/>
      <c r="J22" s="11"/>
      <c r="K22" s="4">
        <f t="shared" si="1"/>
        <v>29243</v>
      </c>
    </row>
    <row r="23" spans="1:11" x14ac:dyDescent="0.25">
      <c r="A23" s="2">
        <v>46007</v>
      </c>
      <c r="B23" s="11">
        <v>16956</v>
      </c>
      <c r="C23" s="11"/>
      <c r="D23" s="11"/>
      <c r="E23" s="12">
        <v>12272</v>
      </c>
      <c r="F23" s="13"/>
      <c r="G23" s="14"/>
      <c r="H23" s="11"/>
      <c r="I23" s="11"/>
      <c r="J23" s="11"/>
      <c r="K23" s="4">
        <f t="shared" si="1"/>
        <v>29228</v>
      </c>
    </row>
    <row r="24" spans="1:11" x14ac:dyDescent="0.25">
      <c r="A24" s="2">
        <v>46008</v>
      </c>
      <c r="B24" s="11">
        <v>14735</v>
      </c>
      <c r="C24" s="11"/>
      <c r="D24" s="11"/>
      <c r="E24" s="12">
        <v>8484</v>
      </c>
      <c r="F24" s="13"/>
      <c r="G24" s="14"/>
      <c r="H24" s="11"/>
      <c r="I24" s="11"/>
      <c r="J24" s="11"/>
      <c r="K24" s="4">
        <f>SUM(B24:J24)</f>
        <v>23219</v>
      </c>
    </row>
    <row r="25" spans="1:11" x14ac:dyDescent="0.25">
      <c r="A25" s="2">
        <v>46009</v>
      </c>
      <c r="B25" s="11">
        <v>15386</v>
      </c>
      <c r="C25" s="11"/>
      <c r="D25" s="11"/>
      <c r="E25" s="12">
        <v>11156</v>
      </c>
      <c r="F25" s="13"/>
      <c r="G25" s="14"/>
      <c r="H25" s="11"/>
      <c r="I25" s="11"/>
      <c r="J25" s="11"/>
      <c r="K25" s="4">
        <f t="shared" ref="K25" si="2">SUM(B25:J25)</f>
        <v>26542</v>
      </c>
    </row>
    <row r="26" spans="1:11" x14ac:dyDescent="0.25">
      <c r="A26" s="2">
        <v>46010</v>
      </c>
      <c r="B26" s="11">
        <v>10017</v>
      </c>
      <c r="C26" s="11"/>
      <c r="D26" s="11"/>
      <c r="E26" s="12">
        <v>6698</v>
      </c>
      <c r="F26" s="13"/>
      <c r="G26" s="14"/>
      <c r="H26" s="11"/>
      <c r="I26" s="11"/>
      <c r="J26" s="11"/>
      <c r="K26" s="4">
        <f t="shared" ref="K26" si="3">SUM(B26:J26)</f>
        <v>16715</v>
      </c>
    </row>
    <row r="27" spans="1:11" x14ac:dyDescent="0.25">
      <c r="A27" s="2">
        <v>46011</v>
      </c>
      <c r="B27" s="12" t="s">
        <v>1</v>
      </c>
      <c r="C27" s="13"/>
      <c r="D27" s="13"/>
      <c r="E27" s="13"/>
      <c r="F27" s="13"/>
      <c r="G27" s="13"/>
      <c r="H27" s="13"/>
      <c r="I27" s="13"/>
      <c r="J27" s="13"/>
      <c r="K27" s="14"/>
    </row>
    <row r="28" spans="1:11" x14ac:dyDescent="0.25">
      <c r="A28" s="2">
        <v>46012</v>
      </c>
      <c r="B28" s="12" t="s">
        <v>2</v>
      </c>
      <c r="C28" s="13"/>
      <c r="D28" s="13"/>
      <c r="E28" s="13"/>
      <c r="F28" s="13"/>
      <c r="G28" s="13"/>
      <c r="H28" s="13"/>
      <c r="I28" s="13"/>
      <c r="J28" s="13"/>
      <c r="K28" s="14"/>
    </row>
    <row r="29" spans="1:11" x14ac:dyDescent="0.25">
      <c r="A29" s="2">
        <v>46013</v>
      </c>
      <c r="B29" s="11">
        <v>8135</v>
      </c>
      <c r="C29" s="11"/>
      <c r="D29" s="11"/>
      <c r="E29" s="12">
        <v>10400</v>
      </c>
      <c r="F29" s="13"/>
      <c r="G29" s="14"/>
      <c r="H29" s="11"/>
      <c r="I29" s="11"/>
      <c r="J29" s="11"/>
      <c r="K29" s="4">
        <f>SUM(B29,E29,H29)</f>
        <v>18535</v>
      </c>
    </row>
    <row r="30" spans="1:11" x14ac:dyDescent="0.25">
      <c r="A30" s="2">
        <v>46014</v>
      </c>
      <c r="B30" s="11">
        <v>10835</v>
      </c>
      <c r="C30" s="11"/>
      <c r="D30" s="11"/>
      <c r="E30" s="12"/>
      <c r="F30" s="13"/>
      <c r="G30" s="14"/>
      <c r="H30" s="11"/>
      <c r="I30" s="11"/>
      <c r="J30" s="11"/>
      <c r="K30" s="4">
        <f t="shared" ref="K30" si="4">SUM(B30,E30,H30)</f>
        <v>10835</v>
      </c>
    </row>
    <row r="31" spans="1:11" x14ac:dyDescent="0.25">
      <c r="A31" s="2">
        <v>46015</v>
      </c>
      <c r="B31" s="12" t="s">
        <v>11</v>
      </c>
      <c r="C31" s="13"/>
      <c r="D31" s="13"/>
      <c r="E31" s="13"/>
      <c r="F31" s="13"/>
      <c r="G31" s="13"/>
      <c r="H31" s="13"/>
      <c r="I31" s="13"/>
      <c r="J31" s="13"/>
      <c r="K31" s="14"/>
    </row>
    <row r="32" spans="1:11" x14ac:dyDescent="0.25">
      <c r="A32" s="2">
        <v>46016</v>
      </c>
      <c r="B32" s="12" t="s">
        <v>8</v>
      </c>
      <c r="C32" s="13"/>
      <c r="D32" s="13"/>
      <c r="E32" s="13"/>
      <c r="F32" s="13"/>
      <c r="G32" s="13"/>
      <c r="H32" s="13"/>
      <c r="I32" s="13"/>
      <c r="J32" s="13"/>
      <c r="K32" s="14"/>
    </row>
    <row r="33" spans="1:11" x14ac:dyDescent="0.25">
      <c r="A33" s="2">
        <v>46017</v>
      </c>
      <c r="B33" s="11">
        <v>10514</v>
      </c>
      <c r="C33" s="11"/>
      <c r="D33" s="11"/>
      <c r="E33" s="12">
        <v>8758</v>
      </c>
      <c r="F33" s="13"/>
      <c r="G33" s="14"/>
      <c r="H33" s="11"/>
      <c r="I33" s="11"/>
      <c r="J33" s="11"/>
      <c r="K33" s="4">
        <f t="shared" ref="K33" si="5">SUM(B33,E33,H33)</f>
        <v>19272</v>
      </c>
    </row>
    <row r="34" spans="1:11" x14ac:dyDescent="0.25">
      <c r="A34" s="2">
        <v>46018</v>
      </c>
      <c r="B34" s="12" t="s">
        <v>1</v>
      </c>
      <c r="C34" s="13"/>
      <c r="D34" s="13"/>
      <c r="E34" s="13"/>
      <c r="F34" s="13"/>
      <c r="G34" s="13"/>
      <c r="H34" s="13"/>
      <c r="I34" s="13"/>
      <c r="J34" s="13"/>
      <c r="K34" s="14"/>
    </row>
    <row r="35" spans="1:11" x14ac:dyDescent="0.25">
      <c r="A35" s="2">
        <v>46019</v>
      </c>
      <c r="B35" s="12" t="s">
        <v>2</v>
      </c>
      <c r="C35" s="13"/>
      <c r="D35" s="13"/>
      <c r="E35" s="13"/>
      <c r="F35" s="13"/>
      <c r="G35" s="13"/>
      <c r="H35" s="13"/>
      <c r="I35" s="13"/>
      <c r="J35" s="13"/>
      <c r="K35" s="14"/>
    </row>
    <row r="36" spans="1:11" x14ac:dyDescent="0.25">
      <c r="A36" s="2">
        <v>46020</v>
      </c>
      <c r="B36" s="11">
        <v>17176</v>
      </c>
      <c r="C36" s="11"/>
      <c r="D36" s="11"/>
      <c r="E36" s="12">
        <v>10700</v>
      </c>
      <c r="F36" s="13"/>
      <c r="G36" s="14"/>
      <c r="H36" s="11"/>
      <c r="I36" s="11"/>
      <c r="J36" s="11"/>
      <c r="K36" s="4">
        <f>SUM(B36,E36,H36)</f>
        <v>27876</v>
      </c>
    </row>
    <row r="37" spans="1:11" x14ac:dyDescent="0.25">
      <c r="A37" s="2">
        <v>46021</v>
      </c>
      <c r="B37" s="11">
        <v>14728</v>
      </c>
      <c r="C37" s="11"/>
      <c r="D37" s="11"/>
      <c r="E37" s="12">
        <v>10374</v>
      </c>
      <c r="F37" s="13"/>
      <c r="G37" s="14"/>
      <c r="H37" s="11"/>
      <c r="I37" s="11"/>
      <c r="J37" s="11"/>
      <c r="K37" s="4">
        <f>SUM(B37,E37,H37)</f>
        <v>25102</v>
      </c>
    </row>
    <row r="38" spans="1:11" x14ac:dyDescent="0.25">
      <c r="A38" s="2">
        <v>46022</v>
      </c>
      <c r="B38" s="12" t="s">
        <v>11</v>
      </c>
      <c r="C38" s="13"/>
      <c r="D38" s="13"/>
      <c r="E38" s="13"/>
      <c r="F38" s="13"/>
      <c r="G38" s="13"/>
      <c r="H38" s="13"/>
      <c r="I38" s="13"/>
      <c r="J38" s="13"/>
      <c r="K38" s="14"/>
    </row>
    <row r="39" spans="1:11" x14ac:dyDescent="0.25">
      <c r="A39" s="7" t="s">
        <v>5</v>
      </c>
      <c r="B39" s="22">
        <f>SUM(B8:D11,B16:D19,B22:D26,B29:D30,B33,B36:D37)</f>
        <v>223317</v>
      </c>
      <c r="C39" s="23"/>
      <c r="D39" s="24"/>
      <c r="E39" s="31">
        <f>SUM(E8:G11,E22:G26,E29:G30,E33,E36:G37)</f>
        <v>138410</v>
      </c>
      <c r="F39" s="32"/>
      <c r="G39" s="33"/>
      <c r="H39" s="22">
        <f>SUM(H8:J11,H16:J19,H22:J26,H29:J30,H33,H36:J37)</f>
        <v>21244</v>
      </c>
      <c r="I39" s="23"/>
      <c r="J39" s="24"/>
      <c r="K39" s="8">
        <f>SUM(K8:K11,K16:K19,K22:K26,K29:K30,K33,K36:K37)</f>
        <v>442375</v>
      </c>
    </row>
  </sheetData>
  <mergeCells count="77">
    <mergeCell ref="B31:K31"/>
    <mergeCell ref="B38:K38"/>
    <mergeCell ref="B29:D29"/>
    <mergeCell ref="E29:G29"/>
    <mergeCell ref="H29:J29"/>
    <mergeCell ref="B33:D33"/>
    <mergeCell ref="E33:G33"/>
    <mergeCell ref="H33:J33"/>
    <mergeCell ref="B28:K28"/>
    <mergeCell ref="B26:D26"/>
    <mergeCell ref="E26:G26"/>
    <mergeCell ref="H26:J26"/>
    <mergeCell ref="H22:J22"/>
    <mergeCell ref="B25:D25"/>
    <mergeCell ref="E25:G25"/>
    <mergeCell ref="H25:J25"/>
    <mergeCell ref="B23:D23"/>
    <mergeCell ref="E23:G23"/>
    <mergeCell ref="H23:J23"/>
    <mergeCell ref="H8:J8"/>
    <mergeCell ref="B9:D9"/>
    <mergeCell ref="E9:G9"/>
    <mergeCell ref="H9:J9"/>
    <mergeCell ref="B12:K12"/>
    <mergeCell ref="B10:D10"/>
    <mergeCell ref="E10:G10"/>
    <mergeCell ref="H10:J10"/>
    <mergeCell ref="B11:D11"/>
    <mergeCell ref="E11:G11"/>
    <mergeCell ref="H11:J11"/>
    <mergeCell ref="B8:D8"/>
    <mergeCell ref="E8:G8"/>
    <mergeCell ref="B13:K13"/>
    <mergeCell ref="B32:K32"/>
    <mergeCell ref="B27:K27"/>
    <mergeCell ref="B24:D24"/>
    <mergeCell ref="E24:G24"/>
    <mergeCell ref="H24:J24"/>
    <mergeCell ref="B30:D30"/>
    <mergeCell ref="E30:G30"/>
    <mergeCell ref="H30:J30"/>
    <mergeCell ref="E16:G16"/>
    <mergeCell ref="H16:J16"/>
    <mergeCell ref="B20:K20"/>
    <mergeCell ref="B22:D22"/>
    <mergeCell ref="B21:K21"/>
    <mergeCell ref="E22:G22"/>
    <mergeCell ref="B18:D18"/>
    <mergeCell ref="B39:D39"/>
    <mergeCell ref="E39:G39"/>
    <mergeCell ref="H39:J39"/>
    <mergeCell ref="B34:K34"/>
    <mergeCell ref="B35:K35"/>
    <mergeCell ref="B36:D36"/>
    <mergeCell ref="E36:G36"/>
    <mergeCell ref="H36:J36"/>
    <mergeCell ref="B37:D37"/>
    <mergeCell ref="E37:G37"/>
    <mergeCell ref="H37:J37"/>
    <mergeCell ref="E18:G18"/>
    <mergeCell ref="H18:J18"/>
    <mergeCell ref="B19:D19"/>
    <mergeCell ref="E19:G19"/>
    <mergeCell ref="H19:J19"/>
    <mergeCell ref="A1:K4"/>
    <mergeCell ref="A5:K5"/>
    <mergeCell ref="A6:A7"/>
    <mergeCell ref="B6:D7"/>
    <mergeCell ref="E6:G7"/>
    <mergeCell ref="H6:J7"/>
    <mergeCell ref="K6:K7"/>
    <mergeCell ref="B15:K15"/>
    <mergeCell ref="B17:D17"/>
    <mergeCell ref="E17:G17"/>
    <mergeCell ref="H17:J17"/>
    <mergeCell ref="B14:K14"/>
    <mergeCell ref="B16:D16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3A58-A5D9-4FC0-B7CA-CDF4AE1F6E37}">
  <dimension ref="A1:K39"/>
  <sheetViews>
    <sheetView workbookViewId="0">
      <selection activeCell="B8" sqref="B8:K8"/>
    </sheetView>
  </sheetViews>
  <sheetFormatPr defaultRowHeight="15" x14ac:dyDescent="0.25"/>
  <cols>
    <col min="1" max="2" width="9.140625" style="1"/>
    <col min="3" max="3" width="10.7109375" style="1" bestFit="1" customWidth="1"/>
    <col min="4" max="10" width="9.140625" style="1"/>
    <col min="11" max="11" width="27.7109375" style="1" customWidth="1"/>
    <col min="12" max="16384" width="9.140625" style="1"/>
  </cols>
  <sheetData>
    <row r="1" spans="1:11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x14ac:dyDescent="0.25">
      <c r="A6" s="19" t="s">
        <v>0</v>
      </c>
      <c r="B6" s="20" t="s">
        <v>16</v>
      </c>
      <c r="C6" s="20"/>
      <c r="D6" s="20"/>
      <c r="E6" s="25" t="s">
        <v>17</v>
      </c>
      <c r="F6" s="26"/>
      <c r="G6" s="27"/>
      <c r="H6" s="20" t="s">
        <v>22</v>
      </c>
      <c r="I6" s="20"/>
      <c r="J6" s="20"/>
      <c r="K6" s="21" t="s">
        <v>4</v>
      </c>
    </row>
    <row r="7" spans="1:11" x14ac:dyDescent="0.25">
      <c r="A7" s="19"/>
      <c r="B7" s="20"/>
      <c r="C7" s="20"/>
      <c r="D7" s="20"/>
      <c r="E7" s="28"/>
      <c r="F7" s="29"/>
      <c r="G7" s="30"/>
      <c r="H7" s="20"/>
      <c r="I7" s="20"/>
      <c r="J7" s="20"/>
      <c r="K7" s="21"/>
    </row>
    <row r="8" spans="1:11" x14ac:dyDescent="0.25">
      <c r="A8" s="2">
        <v>46023</v>
      </c>
      <c r="B8" s="12" t="s">
        <v>8</v>
      </c>
      <c r="C8" s="13"/>
      <c r="D8" s="13"/>
      <c r="E8" s="13"/>
      <c r="F8" s="13"/>
      <c r="G8" s="13"/>
      <c r="H8" s="13"/>
      <c r="I8" s="13"/>
      <c r="J8" s="13"/>
      <c r="K8" s="14"/>
    </row>
    <row r="9" spans="1:11" x14ac:dyDescent="0.25">
      <c r="A9" s="2">
        <v>46024</v>
      </c>
      <c r="B9" s="12">
        <v>10812</v>
      </c>
      <c r="C9" s="13"/>
      <c r="D9" s="14"/>
      <c r="E9" s="11">
        <v>8295</v>
      </c>
      <c r="F9" s="11"/>
      <c r="G9" s="11"/>
      <c r="H9" s="11"/>
      <c r="I9" s="11"/>
      <c r="J9" s="11"/>
      <c r="K9" s="9">
        <f>SUM(B9:J9)</f>
        <v>19107</v>
      </c>
    </row>
    <row r="10" spans="1:11" x14ac:dyDescent="0.25">
      <c r="A10" s="2">
        <v>46025</v>
      </c>
      <c r="B10" s="12" t="s">
        <v>1</v>
      </c>
      <c r="C10" s="13"/>
      <c r="D10" s="13"/>
      <c r="E10" s="13"/>
      <c r="F10" s="13"/>
      <c r="G10" s="13"/>
      <c r="H10" s="13"/>
      <c r="I10" s="13"/>
      <c r="J10" s="13"/>
      <c r="K10" s="14"/>
    </row>
    <row r="11" spans="1:11" x14ac:dyDescent="0.25">
      <c r="A11" s="2">
        <v>46026</v>
      </c>
      <c r="B11" s="12" t="s">
        <v>2</v>
      </c>
      <c r="C11" s="13"/>
      <c r="D11" s="13"/>
      <c r="E11" s="13"/>
      <c r="F11" s="13"/>
      <c r="G11" s="13"/>
      <c r="H11" s="13"/>
      <c r="I11" s="13"/>
      <c r="J11" s="13"/>
      <c r="K11" s="14"/>
    </row>
    <row r="12" spans="1:11" x14ac:dyDescent="0.25">
      <c r="A12" s="2">
        <v>46027</v>
      </c>
      <c r="B12" s="11"/>
      <c r="C12" s="11"/>
      <c r="D12" s="11"/>
      <c r="E12" s="11">
        <v>9097</v>
      </c>
      <c r="F12" s="11"/>
      <c r="G12" s="11"/>
      <c r="H12" s="11"/>
      <c r="I12" s="11"/>
      <c r="J12" s="11"/>
      <c r="K12" s="4">
        <f>SUM(B12,E12,H12)</f>
        <v>9097</v>
      </c>
    </row>
    <row r="13" spans="1:11" x14ac:dyDescent="0.25">
      <c r="A13" s="2">
        <v>46028</v>
      </c>
      <c r="B13" s="11"/>
      <c r="C13" s="11"/>
      <c r="D13" s="11"/>
      <c r="E13" s="11">
        <v>11691</v>
      </c>
      <c r="F13" s="11"/>
      <c r="G13" s="11"/>
      <c r="H13" s="11">
        <v>14135</v>
      </c>
      <c r="I13" s="11"/>
      <c r="J13" s="11"/>
      <c r="K13" s="4">
        <f>SUM(B13,E13,H13)</f>
        <v>25826</v>
      </c>
    </row>
    <row r="14" spans="1:11" x14ac:dyDescent="0.25">
      <c r="A14" s="2">
        <v>46029</v>
      </c>
      <c r="B14" s="11">
        <v>13493</v>
      </c>
      <c r="C14" s="11"/>
      <c r="D14" s="11"/>
      <c r="E14" s="11">
        <v>6613</v>
      </c>
      <c r="F14" s="11"/>
      <c r="G14" s="11"/>
      <c r="H14" s="11"/>
      <c r="I14" s="11"/>
      <c r="J14" s="11"/>
      <c r="K14" s="4">
        <f>SUM(B14,E14,H14)</f>
        <v>20106</v>
      </c>
    </row>
    <row r="15" spans="1:11" x14ac:dyDescent="0.25">
      <c r="A15" s="2">
        <v>46030</v>
      </c>
      <c r="B15" s="11">
        <v>8251</v>
      </c>
      <c r="C15" s="11"/>
      <c r="D15" s="11"/>
      <c r="E15" s="11">
        <v>4775</v>
      </c>
      <c r="F15" s="11"/>
      <c r="G15" s="11"/>
      <c r="H15" s="11"/>
      <c r="I15" s="11"/>
      <c r="J15" s="11"/>
      <c r="K15" s="4">
        <f>SUM(B15,E15,H15)</f>
        <v>13026</v>
      </c>
    </row>
    <row r="16" spans="1:11" x14ac:dyDescent="0.25">
      <c r="A16" s="2">
        <v>46031</v>
      </c>
      <c r="B16" s="11">
        <v>13943</v>
      </c>
      <c r="C16" s="11"/>
      <c r="D16" s="11"/>
      <c r="E16" s="12">
        <v>8366</v>
      </c>
      <c r="F16" s="13"/>
      <c r="G16" s="14"/>
      <c r="H16" s="11"/>
      <c r="I16" s="11"/>
      <c r="J16" s="11"/>
      <c r="K16" s="4">
        <f>SUM(B16:J16)</f>
        <v>22309</v>
      </c>
    </row>
    <row r="17" spans="1:11" x14ac:dyDescent="0.25">
      <c r="A17" s="2">
        <v>46032</v>
      </c>
      <c r="B17" s="12" t="s">
        <v>1</v>
      </c>
      <c r="C17" s="13"/>
      <c r="D17" s="13"/>
      <c r="E17" s="13"/>
      <c r="F17" s="13"/>
      <c r="G17" s="13"/>
      <c r="H17" s="13"/>
      <c r="I17" s="13"/>
      <c r="J17" s="13"/>
      <c r="K17" s="14"/>
    </row>
    <row r="18" spans="1:11" x14ac:dyDescent="0.25">
      <c r="A18" s="2">
        <v>46033</v>
      </c>
      <c r="B18" s="12" t="s">
        <v>2</v>
      </c>
      <c r="C18" s="13"/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2">
        <v>46034</v>
      </c>
      <c r="B19" s="11">
        <v>4344</v>
      </c>
      <c r="C19" s="11"/>
      <c r="D19" s="11"/>
      <c r="E19" s="12">
        <v>12188</v>
      </c>
      <c r="F19" s="13"/>
      <c r="G19" s="14"/>
      <c r="H19" s="11">
        <v>5904</v>
      </c>
      <c r="I19" s="11"/>
      <c r="J19" s="11"/>
      <c r="K19" s="4">
        <f t="shared" ref="K19:K23" si="0">SUM(B19:J19)</f>
        <v>22436</v>
      </c>
    </row>
    <row r="20" spans="1:11" x14ac:dyDescent="0.25">
      <c r="A20" s="2">
        <v>46035</v>
      </c>
      <c r="B20" s="11">
        <v>15862</v>
      </c>
      <c r="C20" s="11"/>
      <c r="D20" s="11"/>
      <c r="E20" s="12">
        <v>11000</v>
      </c>
      <c r="F20" s="13"/>
      <c r="G20" s="14"/>
      <c r="H20" s="11">
        <v>12153</v>
      </c>
      <c r="I20" s="11"/>
      <c r="J20" s="11"/>
      <c r="K20" s="4">
        <f t="shared" ref="K20:K21" si="1">SUM(B20:J20)</f>
        <v>39015</v>
      </c>
    </row>
    <row r="21" spans="1:11" x14ac:dyDescent="0.25">
      <c r="A21" s="2">
        <v>46036</v>
      </c>
      <c r="B21" s="11">
        <v>19035</v>
      </c>
      <c r="C21" s="11"/>
      <c r="D21" s="11"/>
      <c r="E21" s="12">
        <v>12385</v>
      </c>
      <c r="F21" s="13"/>
      <c r="G21" s="14"/>
      <c r="H21" s="11">
        <v>12310</v>
      </c>
      <c r="I21" s="11"/>
      <c r="J21" s="11"/>
      <c r="K21" s="4">
        <f t="shared" si="1"/>
        <v>43730</v>
      </c>
    </row>
    <row r="22" spans="1:11" x14ac:dyDescent="0.25">
      <c r="A22" s="2">
        <v>46037</v>
      </c>
      <c r="B22" s="11"/>
      <c r="C22" s="11"/>
      <c r="D22" s="11"/>
      <c r="E22" s="12">
        <v>13611</v>
      </c>
      <c r="F22" s="13"/>
      <c r="G22" s="14"/>
      <c r="H22" s="11">
        <v>13585</v>
      </c>
      <c r="I22" s="11"/>
      <c r="J22" s="11"/>
      <c r="K22" s="4">
        <f t="shared" si="0"/>
        <v>27196</v>
      </c>
    </row>
    <row r="23" spans="1:11" x14ac:dyDescent="0.25">
      <c r="A23" s="2">
        <v>46038</v>
      </c>
      <c r="B23" s="11">
        <v>20408</v>
      </c>
      <c r="C23" s="11"/>
      <c r="D23" s="11"/>
      <c r="E23" s="12">
        <v>12639</v>
      </c>
      <c r="F23" s="13"/>
      <c r="G23" s="14"/>
      <c r="H23" s="11">
        <v>12560</v>
      </c>
      <c r="I23" s="11"/>
      <c r="J23" s="11"/>
      <c r="K23" s="4">
        <f t="shared" si="0"/>
        <v>45607</v>
      </c>
    </row>
    <row r="24" spans="1:11" x14ac:dyDescent="0.25">
      <c r="A24" s="2">
        <v>46039</v>
      </c>
      <c r="B24" s="12" t="s">
        <v>1</v>
      </c>
      <c r="C24" s="13"/>
      <c r="D24" s="13"/>
      <c r="E24" s="13"/>
      <c r="F24" s="13"/>
      <c r="G24" s="13"/>
      <c r="H24" s="13"/>
      <c r="I24" s="13"/>
      <c r="J24" s="13"/>
      <c r="K24" s="14"/>
    </row>
    <row r="25" spans="1:11" x14ac:dyDescent="0.25">
      <c r="A25" s="2">
        <v>46040</v>
      </c>
      <c r="B25" s="12" t="s">
        <v>2</v>
      </c>
      <c r="C25" s="13"/>
      <c r="D25" s="13"/>
      <c r="E25" s="13"/>
      <c r="F25" s="13"/>
      <c r="G25" s="13"/>
      <c r="H25" s="13"/>
      <c r="I25" s="13"/>
      <c r="J25" s="13"/>
      <c r="K25" s="14"/>
    </row>
    <row r="26" spans="1:11" x14ac:dyDescent="0.25">
      <c r="A26" s="2">
        <v>46041</v>
      </c>
      <c r="B26" s="11">
        <v>15623</v>
      </c>
      <c r="C26" s="11"/>
      <c r="D26" s="11"/>
      <c r="E26" s="12">
        <v>12634</v>
      </c>
      <c r="F26" s="13"/>
      <c r="G26" s="14"/>
      <c r="H26" s="11"/>
      <c r="I26" s="11"/>
      <c r="J26" s="11"/>
      <c r="K26" s="4">
        <f t="shared" ref="K26" si="2">SUM(B26:J26)</f>
        <v>28257</v>
      </c>
    </row>
    <row r="27" spans="1:11" x14ac:dyDescent="0.25">
      <c r="A27" s="2">
        <v>46042</v>
      </c>
      <c r="B27" s="11">
        <v>25845</v>
      </c>
      <c r="C27" s="11"/>
      <c r="D27" s="11"/>
      <c r="E27" s="12">
        <v>11644</v>
      </c>
      <c r="F27" s="13"/>
      <c r="G27" s="14"/>
      <c r="H27" s="11">
        <v>11889</v>
      </c>
      <c r="I27" s="11"/>
      <c r="J27" s="11"/>
      <c r="K27" s="4">
        <f t="shared" ref="K27:K28" si="3">SUM(B27:J27)</f>
        <v>49378</v>
      </c>
    </row>
    <row r="28" spans="1:11" x14ac:dyDescent="0.25">
      <c r="A28" s="2">
        <v>46043</v>
      </c>
      <c r="B28" s="11">
        <v>22264</v>
      </c>
      <c r="C28" s="11"/>
      <c r="D28" s="11"/>
      <c r="E28" s="12">
        <v>13090</v>
      </c>
      <c r="F28" s="13"/>
      <c r="G28" s="14"/>
      <c r="H28" s="11">
        <v>13572</v>
      </c>
      <c r="I28" s="11"/>
      <c r="J28" s="11"/>
      <c r="K28" s="4">
        <f t="shared" si="3"/>
        <v>48926</v>
      </c>
    </row>
    <row r="29" spans="1:11" x14ac:dyDescent="0.25">
      <c r="A29" s="2">
        <v>46044</v>
      </c>
      <c r="B29" s="11">
        <v>22232</v>
      </c>
      <c r="C29" s="11"/>
      <c r="D29" s="11"/>
      <c r="E29" s="12">
        <v>12534</v>
      </c>
      <c r="F29" s="13"/>
      <c r="G29" s="14"/>
      <c r="H29" s="11"/>
      <c r="I29" s="11"/>
      <c r="J29" s="11"/>
      <c r="K29" s="4">
        <f>SUM(B29,E29,H29)</f>
        <v>34766</v>
      </c>
    </row>
    <row r="30" spans="1:11" x14ac:dyDescent="0.25">
      <c r="A30" s="2">
        <v>46045</v>
      </c>
      <c r="B30" s="11"/>
      <c r="C30" s="11"/>
      <c r="D30" s="11"/>
      <c r="E30" s="12">
        <v>16637</v>
      </c>
      <c r="F30" s="13"/>
      <c r="G30" s="14"/>
      <c r="H30" s="11">
        <v>11442</v>
      </c>
      <c r="I30" s="11"/>
      <c r="J30" s="11"/>
      <c r="K30" s="4">
        <f t="shared" ref="K30" si="4">SUM(B30,E30,H30)</f>
        <v>28079</v>
      </c>
    </row>
    <row r="31" spans="1:11" x14ac:dyDescent="0.25">
      <c r="A31" s="2">
        <v>46046</v>
      </c>
      <c r="B31" s="12" t="s">
        <v>1</v>
      </c>
      <c r="C31" s="13"/>
      <c r="D31" s="13"/>
      <c r="E31" s="13"/>
      <c r="F31" s="13"/>
      <c r="G31" s="13"/>
      <c r="H31" s="13"/>
      <c r="I31" s="13"/>
      <c r="J31" s="13"/>
      <c r="K31" s="14"/>
    </row>
    <row r="32" spans="1:11" x14ac:dyDescent="0.25">
      <c r="A32" s="2">
        <v>46047</v>
      </c>
      <c r="B32" s="12" t="s">
        <v>2</v>
      </c>
      <c r="C32" s="13"/>
      <c r="D32" s="13"/>
      <c r="E32" s="13"/>
      <c r="F32" s="13"/>
      <c r="G32" s="13"/>
      <c r="H32" s="13"/>
      <c r="I32" s="13"/>
      <c r="J32" s="13"/>
      <c r="K32" s="14"/>
    </row>
    <row r="33" spans="1:11" x14ac:dyDescent="0.25">
      <c r="A33" s="2">
        <v>46048</v>
      </c>
      <c r="B33" s="11"/>
      <c r="C33" s="11"/>
      <c r="D33" s="11"/>
      <c r="E33" s="12">
        <v>13777</v>
      </c>
      <c r="F33" s="13"/>
      <c r="G33" s="14"/>
      <c r="H33" s="11">
        <v>14286</v>
      </c>
      <c r="I33" s="11"/>
      <c r="J33" s="11"/>
      <c r="K33" s="4">
        <f t="shared" ref="K33" si="5">SUM(B33,E33,H33)</f>
        <v>28063</v>
      </c>
    </row>
    <row r="34" spans="1:11" x14ac:dyDescent="0.25">
      <c r="A34" s="2">
        <v>46049</v>
      </c>
      <c r="B34" s="11"/>
      <c r="C34" s="11"/>
      <c r="D34" s="11"/>
      <c r="E34" s="12">
        <v>11777</v>
      </c>
      <c r="F34" s="13"/>
      <c r="G34" s="14"/>
      <c r="H34" s="11">
        <v>13073</v>
      </c>
      <c r="I34" s="11"/>
      <c r="J34" s="11"/>
      <c r="K34" s="4">
        <f t="shared" ref="K34:K35" si="6">SUM(B34,E34,H34)</f>
        <v>24850</v>
      </c>
    </row>
    <row r="35" spans="1:11" x14ac:dyDescent="0.25">
      <c r="A35" s="2">
        <v>46050</v>
      </c>
      <c r="B35" s="11"/>
      <c r="C35" s="11"/>
      <c r="D35" s="11"/>
      <c r="E35" s="12">
        <v>13524</v>
      </c>
      <c r="F35" s="13"/>
      <c r="G35" s="14"/>
      <c r="H35" s="11">
        <v>16676</v>
      </c>
      <c r="I35" s="11"/>
      <c r="J35" s="11"/>
      <c r="K35" s="4">
        <f t="shared" si="6"/>
        <v>30200</v>
      </c>
    </row>
    <row r="36" spans="1:11" x14ac:dyDescent="0.25">
      <c r="A36" s="2">
        <v>46051</v>
      </c>
      <c r="B36" s="11"/>
      <c r="C36" s="11"/>
      <c r="D36" s="11"/>
      <c r="E36" s="12">
        <v>12279</v>
      </c>
      <c r="F36" s="13"/>
      <c r="G36" s="14"/>
      <c r="H36" s="11">
        <v>18300</v>
      </c>
      <c r="I36" s="11"/>
      <c r="J36" s="11"/>
      <c r="K36" s="4">
        <f>SUM(B36,E36,H36)</f>
        <v>30579</v>
      </c>
    </row>
    <row r="37" spans="1:11" x14ac:dyDescent="0.25">
      <c r="A37" s="2">
        <v>46052</v>
      </c>
      <c r="B37" s="11"/>
      <c r="C37" s="11"/>
      <c r="D37" s="11"/>
      <c r="E37" s="12">
        <v>11604</v>
      </c>
      <c r="F37" s="13"/>
      <c r="G37" s="14"/>
      <c r="H37" s="11">
        <v>19533</v>
      </c>
      <c r="I37" s="11"/>
      <c r="J37" s="11"/>
      <c r="K37" s="4">
        <f>SUM(B37,E37,H37)</f>
        <v>31137</v>
      </c>
    </row>
    <row r="38" spans="1:11" x14ac:dyDescent="0.25">
      <c r="A38" s="2">
        <v>46053</v>
      </c>
      <c r="B38" s="12" t="s">
        <v>1</v>
      </c>
      <c r="C38" s="13"/>
      <c r="D38" s="13"/>
      <c r="E38" s="13"/>
      <c r="F38" s="13"/>
      <c r="G38" s="13"/>
      <c r="H38" s="13"/>
      <c r="I38" s="13"/>
      <c r="J38" s="13"/>
      <c r="K38" s="14"/>
    </row>
    <row r="39" spans="1:11" x14ac:dyDescent="0.25">
      <c r="A39" s="7" t="s">
        <v>5</v>
      </c>
      <c r="B39" s="22">
        <f>SUM(B8:D11,B16:D19,B22:D26,B29:D30,B33,B36:D37)</f>
        <v>87362</v>
      </c>
      <c r="C39" s="23"/>
      <c r="D39" s="24"/>
      <c r="E39" s="31">
        <f>SUM(E8:G11,E22:G26,E29:G30,E33,E36:G37)</f>
        <v>114010</v>
      </c>
      <c r="F39" s="32"/>
      <c r="G39" s="33"/>
      <c r="H39" s="22">
        <f>SUM(H8:J11,H16:J19,H22:J26,H29:J30,H33,H36:J37)</f>
        <v>95610</v>
      </c>
      <c r="I39" s="23"/>
      <c r="J39" s="24"/>
      <c r="K39" s="8">
        <f>SUM(K9,K12:K16,K19:K23,K26:K30,K33:K37)</f>
        <v>621690</v>
      </c>
    </row>
  </sheetData>
  <mergeCells count="83">
    <mergeCell ref="A1:K4"/>
    <mergeCell ref="A5:K5"/>
    <mergeCell ref="A6:A7"/>
    <mergeCell ref="B6:D7"/>
    <mergeCell ref="E6:G7"/>
    <mergeCell ref="H6:J7"/>
    <mergeCell ref="K6:K7"/>
    <mergeCell ref="H12:J12"/>
    <mergeCell ref="B13:D13"/>
    <mergeCell ref="E13:G13"/>
    <mergeCell ref="B9:D9"/>
    <mergeCell ref="E9:G9"/>
    <mergeCell ref="H9:J9"/>
    <mergeCell ref="H13:J13"/>
    <mergeCell ref="B23:D23"/>
    <mergeCell ref="E23:G23"/>
    <mergeCell ref="H23:J23"/>
    <mergeCell ref="B19:D19"/>
    <mergeCell ref="E19:G19"/>
    <mergeCell ref="H19:J19"/>
    <mergeCell ref="B22:D22"/>
    <mergeCell ref="E22:G22"/>
    <mergeCell ref="H22:J22"/>
    <mergeCell ref="B20:D20"/>
    <mergeCell ref="E20:G20"/>
    <mergeCell ref="H20:J20"/>
    <mergeCell ref="B21:D21"/>
    <mergeCell ref="E21:G21"/>
    <mergeCell ref="H21:J21"/>
    <mergeCell ref="H30:J30"/>
    <mergeCell ref="B27:D27"/>
    <mergeCell ref="E27:G27"/>
    <mergeCell ref="B26:D26"/>
    <mergeCell ref="E26:G26"/>
    <mergeCell ref="H26:J26"/>
    <mergeCell ref="B24:K24"/>
    <mergeCell ref="B25:K25"/>
    <mergeCell ref="B29:D29"/>
    <mergeCell ref="E29:G29"/>
    <mergeCell ref="H29:J29"/>
    <mergeCell ref="B38:K38"/>
    <mergeCell ref="B39:D39"/>
    <mergeCell ref="E39:G39"/>
    <mergeCell ref="H39:J39"/>
    <mergeCell ref="B8:K8"/>
    <mergeCell ref="B10:K10"/>
    <mergeCell ref="B11:K11"/>
    <mergeCell ref="B12:D12"/>
    <mergeCell ref="E12:G12"/>
    <mergeCell ref="B32:K32"/>
    <mergeCell ref="B36:D36"/>
    <mergeCell ref="E36:G36"/>
    <mergeCell ref="H36:J36"/>
    <mergeCell ref="B37:D37"/>
    <mergeCell ref="E37:G37"/>
    <mergeCell ref="H37:J37"/>
    <mergeCell ref="B14:D14"/>
    <mergeCell ref="E14:G14"/>
    <mergeCell ref="H14:J14"/>
    <mergeCell ref="B15:D15"/>
    <mergeCell ref="E15:G15"/>
    <mergeCell ref="H15:J15"/>
    <mergeCell ref="B17:K17"/>
    <mergeCell ref="B18:K18"/>
    <mergeCell ref="B16:D16"/>
    <mergeCell ref="E16:G16"/>
    <mergeCell ref="H16:J16"/>
    <mergeCell ref="B35:D35"/>
    <mergeCell ref="E35:G35"/>
    <mergeCell ref="H35:J35"/>
    <mergeCell ref="H27:J27"/>
    <mergeCell ref="B28:D28"/>
    <mergeCell ref="E28:G28"/>
    <mergeCell ref="H28:J28"/>
    <mergeCell ref="B34:D34"/>
    <mergeCell ref="E34:G34"/>
    <mergeCell ref="H34:J34"/>
    <mergeCell ref="B33:D33"/>
    <mergeCell ref="E33:G33"/>
    <mergeCell ref="H33:J33"/>
    <mergeCell ref="B31:K31"/>
    <mergeCell ref="B30:D30"/>
    <mergeCell ref="E30:G3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8E5B-0450-45EC-A768-16728F852187}">
  <dimension ref="A1:J36"/>
  <sheetViews>
    <sheetView topLeftCell="A5" workbookViewId="0">
      <selection activeCell="B8" sqref="B8:I8"/>
    </sheetView>
  </sheetViews>
  <sheetFormatPr defaultRowHeight="15" x14ac:dyDescent="0.25"/>
  <cols>
    <col min="4" max="4" width="12" customWidth="1"/>
    <col min="7" max="7" width="14.140625" customWidth="1"/>
    <col min="8" max="8" width="22.5703125" customWidth="1"/>
    <col min="9" max="9" width="21.5703125" customWidth="1"/>
  </cols>
  <sheetData>
    <row r="1" spans="1:10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0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10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10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</row>
    <row r="6" spans="1:10" ht="17.25" customHeight="1" x14ac:dyDescent="0.25">
      <c r="A6" s="19" t="s">
        <v>0</v>
      </c>
      <c r="B6" s="20" t="s">
        <v>17</v>
      </c>
      <c r="C6" s="20"/>
      <c r="D6" s="20"/>
      <c r="E6" s="25" t="s">
        <v>19</v>
      </c>
      <c r="F6" s="26"/>
      <c r="G6" s="27"/>
      <c r="H6" s="34" t="s">
        <v>18</v>
      </c>
      <c r="I6" s="21" t="s">
        <v>4</v>
      </c>
    </row>
    <row r="7" spans="1:10" ht="17.25" customHeight="1" x14ac:dyDescent="0.25">
      <c r="A7" s="19"/>
      <c r="B7" s="20"/>
      <c r="C7" s="20"/>
      <c r="D7" s="20"/>
      <c r="E7" s="28"/>
      <c r="F7" s="29"/>
      <c r="G7" s="30"/>
      <c r="H7" s="35"/>
      <c r="I7" s="21"/>
    </row>
    <row r="8" spans="1:10" x14ac:dyDescent="0.25">
      <c r="A8" s="2">
        <v>46054</v>
      </c>
      <c r="B8" s="12" t="s">
        <v>2</v>
      </c>
      <c r="C8" s="13"/>
      <c r="D8" s="13"/>
      <c r="E8" s="13"/>
      <c r="F8" s="13"/>
      <c r="G8" s="13"/>
      <c r="H8" s="13"/>
      <c r="I8" s="14"/>
    </row>
    <row r="9" spans="1:10" x14ac:dyDescent="0.25">
      <c r="A9" s="2">
        <v>46055</v>
      </c>
      <c r="B9" s="12">
        <v>8047</v>
      </c>
      <c r="C9" s="13"/>
      <c r="D9" s="14"/>
      <c r="E9" s="11">
        <v>19387</v>
      </c>
      <c r="F9" s="11"/>
      <c r="G9" s="11"/>
      <c r="H9" s="9"/>
      <c r="I9" s="9">
        <f>SUM(B9:H9)</f>
        <v>27434</v>
      </c>
      <c r="J9" t="s">
        <v>13</v>
      </c>
    </row>
    <row r="10" spans="1:10" x14ac:dyDescent="0.25">
      <c r="A10" s="2">
        <v>46056</v>
      </c>
      <c r="B10" s="12">
        <v>10738</v>
      </c>
      <c r="C10" s="13"/>
      <c r="D10" s="14"/>
      <c r="E10" s="11">
        <v>6944</v>
      </c>
      <c r="F10" s="11"/>
      <c r="G10" s="11"/>
      <c r="H10" s="9"/>
      <c r="I10" s="9">
        <f t="shared" ref="I10:I13" si="0">SUM(B10:H10)</f>
        <v>17682</v>
      </c>
    </row>
    <row r="11" spans="1:10" x14ac:dyDescent="0.25">
      <c r="A11" s="2">
        <v>46057</v>
      </c>
      <c r="B11" s="12">
        <v>13842</v>
      </c>
      <c r="C11" s="13"/>
      <c r="D11" s="14"/>
      <c r="E11" s="11">
        <v>9176</v>
      </c>
      <c r="F11" s="11"/>
      <c r="G11" s="11"/>
      <c r="H11" s="9"/>
      <c r="I11" s="9">
        <f t="shared" si="0"/>
        <v>23018</v>
      </c>
    </row>
    <row r="12" spans="1:10" x14ac:dyDescent="0.25">
      <c r="A12" s="2">
        <v>46058</v>
      </c>
      <c r="B12" s="12">
        <v>10767</v>
      </c>
      <c r="C12" s="13"/>
      <c r="D12" s="14"/>
      <c r="E12" s="11">
        <v>8840</v>
      </c>
      <c r="F12" s="11"/>
      <c r="G12" s="11"/>
      <c r="H12" s="9"/>
      <c r="I12" s="9">
        <f t="shared" si="0"/>
        <v>19607</v>
      </c>
    </row>
    <row r="13" spans="1:10" x14ac:dyDescent="0.25">
      <c r="A13" s="2">
        <v>46059</v>
      </c>
      <c r="B13" s="12">
        <v>14654</v>
      </c>
      <c r="C13" s="13"/>
      <c r="D13" s="14"/>
      <c r="E13" s="12">
        <v>9903</v>
      </c>
      <c r="F13" s="13"/>
      <c r="G13" s="14"/>
      <c r="H13" s="9"/>
      <c r="I13" s="9">
        <f t="shared" si="0"/>
        <v>24557</v>
      </c>
      <c r="J13" t="s">
        <v>14</v>
      </c>
    </row>
    <row r="14" spans="1:10" x14ac:dyDescent="0.25">
      <c r="A14" s="2">
        <v>46060</v>
      </c>
      <c r="B14" s="12" t="s">
        <v>1</v>
      </c>
      <c r="C14" s="13"/>
      <c r="D14" s="13"/>
      <c r="E14" s="13"/>
      <c r="F14" s="13"/>
      <c r="G14" s="13"/>
      <c r="H14" s="13"/>
      <c r="I14" s="14"/>
    </row>
    <row r="15" spans="1:10" x14ac:dyDescent="0.25">
      <c r="A15" s="2">
        <v>46061</v>
      </c>
      <c r="B15" s="12" t="s">
        <v>2</v>
      </c>
      <c r="C15" s="13"/>
      <c r="D15" s="13"/>
      <c r="E15" s="13"/>
      <c r="F15" s="13"/>
      <c r="G15" s="13"/>
      <c r="H15" s="13"/>
      <c r="I15" s="14"/>
    </row>
    <row r="16" spans="1:10" x14ac:dyDescent="0.25">
      <c r="A16" s="2">
        <v>46062</v>
      </c>
      <c r="B16" s="12">
        <v>17817</v>
      </c>
      <c r="C16" s="13"/>
      <c r="D16" s="14"/>
      <c r="E16" s="11">
        <v>8466</v>
      </c>
      <c r="F16" s="11"/>
      <c r="G16" s="11"/>
      <c r="H16" s="9"/>
      <c r="I16" s="9">
        <f>SUM(B16:H16)</f>
        <v>26283</v>
      </c>
    </row>
    <row r="17" spans="1:9" x14ac:dyDescent="0.25">
      <c r="A17" s="2">
        <v>46063</v>
      </c>
      <c r="B17" s="12">
        <v>15489</v>
      </c>
      <c r="C17" s="13"/>
      <c r="D17" s="14"/>
      <c r="E17" s="11">
        <v>8977</v>
      </c>
      <c r="F17" s="11"/>
      <c r="G17" s="11"/>
      <c r="H17" s="9"/>
      <c r="I17" s="9">
        <f t="shared" ref="I17:I19" si="1">SUM(B17:H17)</f>
        <v>24466</v>
      </c>
    </row>
    <row r="18" spans="1:9" x14ac:dyDescent="0.25">
      <c r="A18" s="2">
        <v>46064</v>
      </c>
      <c r="B18" s="12">
        <v>13899</v>
      </c>
      <c r="C18" s="13"/>
      <c r="D18" s="14"/>
      <c r="E18" s="11">
        <v>10796</v>
      </c>
      <c r="F18" s="11"/>
      <c r="G18" s="11"/>
      <c r="H18" s="9"/>
      <c r="I18" s="9">
        <f t="shared" si="1"/>
        <v>24695</v>
      </c>
    </row>
    <row r="19" spans="1:9" x14ac:dyDescent="0.25">
      <c r="A19" s="2">
        <v>46065</v>
      </c>
      <c r="B19" s="12">
        <v>14756</v>
      </c>
      <c r="C19" s="13"/>
      <c r="D19" s="14"/>
      <c r="E19" s="11">
        <v>11469</v>
      </c>
      <c r="F19" s="11"/>
      <c r="G19" s="11"/>
      <c r="H19" s="9">
        <v>10796</v>
      </c>
      <c r="I19" s="9">
        <f t="shared" si="1"/>
        <v>37021</v>
      </c>
    </row>
    <row r="20" spans="1:9" x14ac:dyDescent="0.25">
      <c r="A20" s="2">
        <v>46066</v>
      </c>
      <c r="B20" s="11">
        <v>17506</v>
      </c>
      <c r="C20" s="11"/>
      <c r="D20" s="11"/>
      <c r="E20" s="11">
        <v>11818</v>
      </c>
      <c r="F20" s="11"/>
      <c r="G20" s="11"/>
      <c r="H20" s="9">
        <v>9889</v>
      </c>
      <c r="I20" s="9">
        <f>SUM(B20:H20)</f>
        <v>39213</v>
      </c>
    </row>
    <row r="21" spans="1:9" x14ac:dyDescent="0.25">
      <c r="A21" s="2">
        <v>46067</v>
      </c>
      <c r="B21" s="12" t="s">
        <v>1</v>
      </c>
      <c r="C21" s="13"/>
      <c r="D21" s="13"/>
      <c r="E21" s="13"/>
      <c r="F21" s="13"/>
      <c r="G21" s="13"/>
      <c r="H21" s="13"/>
      <c r="I21" s="14"/>
    </row>
    <row r="22" spans="1:9" x14ac:dyDescent="0.25">
      <c r="A22" s="2">
        <v>46068</v>
      </c>
      <c r="B22" s="12" t="s">
        <v>2</v>
      </c>
      <c r="C22" s="13"/>
      <c r="D22" s="13"/>
      <c r="E22" s="13"/>
      <c r="F22" s="13"/>
      <c r="G22" s="13"/>
      <c r="H22" s="13"/>
      <c r="I22" s="14"/>
    </row>
    <row r="23" spans="1:9" x14ac:dyDescent="0.25">
      <c r="A23" s="2">
        <v>46069</v>
      </c>
      <c r="B23" s="12" t="s">
        <v>8</v>
      </c>
      <c r="C23" s="13"/>
      <c r="D23" s="13"/>
      <c r="E23" s="13"/>
      <c r="F23" s="13"/>
      <c r="G23" s="13"/>
      <c r="H23" s="13"/>
      <c r="I23" s="14"/>
    </row>
    <row r="24" spans="1:9" x14ac:dyDescent="0.25">
      <c r="A24" s="2">
        <v>46070</v>
      </c>
      <c r="B24" s="12" t="s">
        <v>8</v>
      </c>
      <c r="C24" s="13"/>
      <c r="D24" s="13"/>
      <c r="E24" s="13"/>
      <c r="F24" s="13"/>
      <c r="G24" s="13"/>
      <c r="H24" s="13"/>
      <c r="I24" s="14"/>
    </row>
    <row r="25" spans="1:9" x14ac:dyDescent="0.25">
      <c r="A25" s="2">
        <v>46071</v>
      </c>
      <c r="B25" s="12" t="s">
        <v>8</v>
      </c>
      <c r="C25" s="13"/>
      <c r="D25" s="13"/>
      <c r="E25" s="13"/>
      <c r="F25" s="13"/>
      <c r="G25" s="13"/>
      <c r="H25" s="13"/>
      <c r="I25" s="14"/>
    </row>
    <row r="26" spans="1:9" x14ac:dyDescent="0.25">
      <c r="A26" s="2">
        <v>46072</v>
      </c>
      <c r="B26" s="11">
        <v>16162</v>
      </c>
      <c r="C26" s="11"/>
      <c r="D26" s="11"/>
      <c r="E26" s="12">
        <v>10999</v>
      </c>
      <c r="F26" s="13"/>
      <c r="G26" s="14"/>
      <c r="H26" s="9">
        <v>7853</v>
      </c>
      <c r="I26" s="9">
        <f t="shared" ref="I26:I27" si="2">SUM(B26:H26)</f>
        <v>35014</v>
      </c>
    </row>
    <row r="27" spans="1:9" x14ac:dyDescent="0.25">
      <c r="A27" s="2">
        <v>46073</v>
      </c>
      <c r="B27" s="11">
        <v>17041</v>
      </c>
      <c r="C27" s="11"/>
      <c r="D27" s="11"/>
      <c r="E27" s="12">
        <v>11162</v>
      </c>
      <c r="F27" s="13"/>
      <c r="G27" s="14"/>
      <c r="H27" s="9">
        <v>11141</v>
      </c>
      <c r="I27" s="9">
        <f t="shared" si="2"/>
        <v>39344</v>
      </c>
    </row>
    <row r="28" spans="1:9" x14ac:dyDescent="0.25">
      <c r="A28" s="2">
        <v>46074</v>
      </c>
      <c r="B28" s="12" t="s">
        <v>1</v>
      </c>
      <c r="C28" s="13"/>
      <c r="D28" s="13"/>
      <c r="E28" s="13"/>
      <c r="F28" s="13"/>
      <c r="G28" s="13"/>
      <c r="H28" s="13"/>
      <c r="I28" s="14"/>
    </row>
    <row r="29" spans="1:9" x14ac:dyDescent="0.25">
      <c r="A29" s="2">
        <v>46075</v>
      </c>
      <c r="B29" s="12" t="s">
        <v>2</v>
      </c>
      <c r="C29" s="13"/>
      <c r="D29" s="13"/>
      <c r="E29" s="13"/>
      <c r="F29" s="13"/>
      <c r="G29" s="13"/>
      <c r="H29" s="13"/>
      <c r="I29" s="14"/>
    </row>
    <row r="30" spans="1:9" x14ac:dyDescent="0.25">
      <c r="A30" s="2">
        <v>46076</v>
      </c>
      <c r="B30" s="11">
        <v>17957</v>
      </c>
      <c r="C30" s="11"/>
      <c r="D30" s="11"/>
      <c r="E30" s="12">
        <v>11311</v>
      </c>
      <c r="F30" s="13"/>
      <c r="G30" s="14"/>
      <c r="H30" s="9">
        <v>29232</v>
      </c>
      <c r="I30" s="4">
        <f>SUM(B30:H30)</f>
        <v>58500</v>
      </c>
    </row>
    <row r="31" spans="1:9" x14ac:dyDescent="0.25">
      <c r="A31" s="2">
        <v>46077</v>
      </c>
      <c r="B31" s="12">
        <v>15243</v>
      </c>
      <c r="C31" s="13"/>
      <c r="D31" s="14"/>
      <c r="E31" s="11">
        <v>12684</v>
      </c>
      <c r="F31" s="11"/>
      <c r="G31" s="11"/>
      <c r="H31" s="4">
        <v>21034</v>
      </c>
      <c r="I31" s="4">
        <f t="shared" ref="I31:I34" si="3">SUM(B31:H31)</f>
        <v>48961</v>
      </c>
    </row>
    <row r="32" spans="1:9" x14ac:dyDescent="0.25">
      <c r="A32" s="2">
        <v>46078</v>
      </c>
      <c r="B32" s="12">
        <v>16358</v>
      </c>
      <c r="C32" s="13"/>
      <c r="D32" s="14"/>
      <c r="E32" s="11">
        <v>10595</v>
      </c>
      <c r="F32" s="11"/>
      <c r="G32" s="11"/>
      <c r="H32" s="4">
        <v>31518</v>
      </c>
      <c r="I32" s="4">
        <f t="shared" si="3"/>
        <v>58471</v>
      </c>
    </row>
    <row r="33" spans="1:9" x14ac:dyDescent="0.25">
      <c r="A33" s="2">
        <v>46079</v>
      </c>
      <c r="B33" s="11">
        <v>17533</v>
      </c>
      <c r="C33" s="11"/>
      <c r="D33" s="11"/>
      <c r="E33" s="11">
        <v>12511</v>
      </c>
      <c r="F33" s="11"/>
      <c r="G33" s="11"/>
      <c r="H33" s="4">
        <v>21925</v>
      </c>
      <c r="I33" s="4">
        <f t="shared" si="3"/>
        <v>51969</v>
      </c>
    </row>
    <row r="34" spans="1:9" x14ac:dyDescent="0.25">
      <c r="A34" s="2">
        <v>46080</v>
      </c>
      <c r="B34" s="11">
        <v>19603</v>
      </c>
      <c r="C34" s="11"/>
      <c r="D34" s="11"/>
      <c r="E34" s="12">
        <v>13021</v>
      </c>
      <c r="F34" s="13"/>
      <c r="G34" s="14"/>
      <c r="H34" s="9">
        <v>29897</v>
      </c>
      <c r="I34" s="4">
        <f t="shared" si="3"/>
        <v>62521</v>
      </c>
    </row>
    <row r="35" spans="1:9" x14ac:dyDescent="0.25">
      <c r="A35" s="2">
        <v>46081</v>
      </c>
      <c r="B35" s="12" t="s">
        <v>1</v>
      </c>
      <c r="C35" s="13"/>
      <c r="D35" s="13"/>
      <c r="E35" s="13"/>
      <c r="F35" s="13"/>
      <c r="G35" s="13"/>
      <c r="H35" s="13"/>
      <c r="I35" s="14"/>
    </row>
    <row r="36" spans="1:9" x14ac:dyDescent="0.25">
      <c r="A36" s="7" t="s">
        <v>5</v>
      </c>
      <c r="B36" s="22">
        <f>SUM(B9:D13,B16:D20,B26:D27,B30:D34)</f>
        <v>257412</v>
      </c>
      <c r="C36" s="23"/>
      <c r="D36" s="24"/>
      <c r="E36" s="31">
        <f>SUM(E9:G13,E16:G20,E26:G27,E30:G34)</f>
        <v>188059</v>
      </c>
      <c r="F36" s="32"/>
      <c r="G36" s="33"/>
      <c r="H36" s="10">
        <f>SUM(H9:H13,H16:H20,H26:H27,H30:H34)</f>
        <v>173285</v>
      </c>
      <c r="I36" s="8">
        <f>SUM(I9:I13,I16:I20,I26:I27,I30:I34)</f>
        <v>618756</v>
      </c>
    </row>
  </sheetData>
  <mergeCells count="54">
    <mergeCell ref="E32:G32"/>
    <mergeCell ref="B35:I35"/>
    <mergeCell ref="B18:D18"/>
    <mergeCell ref="E18:G18"/>
    <mergeCell ref="B21:I21"/>
    <mergeCell ref="B22:I22"/>
    <mergeCell ref="B28:I28"/>
    <mergeCell ref="B29:I29"/>
    <mergeCell ref="B26:D26"/>
    <mergeCell ref="E26:G26"/>
    <mergeCell ref="B27:D27"/>
    <mergeCell ref="E27:G27"/>
    <mergeCell ref="E19:G19"/>
    <mergeCell ref="B23:I23"/>
    <mergeCell ref="B24:I24"/>
    <mergeCell ref="B25:I25"/>
    <mergeCell ref="B32:D32"/>
    <mergeCell ref="B36:D36"/>
    <mergeCell ref="E36:G36"/>
    <mergeCell ref="B14:I14"/>
    <mergeCell ref="B34:D34"/>
    <mergeCell ref="E34:G34"/>
    <mergeCell ref="B30:D30"/>
    <mergeCell ref="E30:G30"/>
    <mergeCell ref="B33:D33"/>
    <mergeCell ref="E33:G33"/>
    <mergeCell ref="B31:D31"/>
    <mergeCell ref="E31:G31"/>
    <mergeCell ref="B20:D20"/>
    <mergeCell ref="E20:G20"/>
    <mergeCell ref="B16:D16"/>
    <mergeCell ref="E16:G16"/>
    <mergeCell ref="B19:D19"/>
    <mergeCell ref="B17:D17"/>
    <mergeCell ref="E17:G17"/>
    <mergeCell ref="B8:I8"/>
    <mergeCell ref="B9:D9"/>
    <mergeCell ref="E9:G9"/>
    <mergeCell ref="B10:D10"/>
    <mergeCell ref="E10:G10"/>
    <mergeCell ref="B11:D11"/>
    <mergeCell ref="E11:G11"/>
    <mergeCell ref="B15:I15"/>
    <mergeCell ref="B12:D12"/>
    <mergeCell ref="E12:G12"/>
    <mergeCell ref="E13:G13"/>
    <mergeCell ref="B13:D13"/>
    <mergeCell ref="A1:I4"/>
    <mergeCell ref="A5:I5"/>
    <mergeCell ref="A6:A7"/>
    <mergeCell ref="B6:D7"/>
    <mergeCell ref="E6:G7"/>
    <mergeCell ref="I6:I7"/>
    <mergeCell ref="H6:H7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E63A-D02B-49B1-9ACC-05EF23404663}">
  <dimension ref="A1:J39"/>
  <sheetViews>
    <sheetView workbookViewId="0">
      <selection activeCell="B8" sqref="B8:I8"/>
    </sheetView>
  </sheetViews>
  <sheetFormatPr defaultRowHeight="15" x14ac:dyDescent="0.25"/>
  <cols>
    <col min="4" max="4" width="6.5703125" customWidth="1"/>
    <col min="7" max="7" width="10.85546875" customWidth="1"/>
    <col min="8" max="8" width="22.5703125" customWidth="1"/>
    <col min="9" max="9" width="25.5703125" customWidth="1"/>
  </cols>
  <sheetData>
    <row r="1" spans="1:10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0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10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10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</row>
    <row r="6" spans="1:10" ht="17.25" customHeight="1" x14ac:dyDescent="0.25">
      <c r="A6" s="19" t="s">
        <v>0</v>
      </c>
      <c r="B6" s="20" t="s">
        <v>17</v>
      </c>
      <c r="C6" s="20"/>
      <c r="D6" s="20"/>
      <c r="E6" s="25" t="s">
        <v>19</v>
      </c>
      <c r="F6" s="26"/>
      <c r="G6" s="27"/>
      <c r="H6" s="34" t="s">
        <v>18</v>
      </c>
      <c r="I6" s="21" t="s">
        <v>4</v>
      </c>
    </row>
    <row r="7" spans="1:10" ht="17.25" customHeight="1" x14ac:dyDescent="0.25">
      <c r="A7" s="19"/>
      <c r="B7" s="20"/>
      <c r="C7" s="20"/>
      <c r="D7" s="20"/>
      <c r="E7" s="28"/>
      <c r="F7" s="29"/>
      <c r="G7" s="30"/>
      <c r="H7" s="35"/>
      <c r="I7" s="21"/>
    </row>
    <row r="8" spans="1:10" x14ac:dyDescent="0.25">
      <c r="A8" s="2">
        <v>46082</v>
      </c>
      <c r="B8" s="12" t="s">
        <v>2</v>
      </c>
      <c r="C8" s="13"/>
      <c r="D8" s="13"/>
      <c r="E8" s="13"/>
      <c r="F8" s="13"/>
      <c r="G8" s="13"/>
      <c r="H8" s="13"/>
      <c r="I8" s="14"/>
    </row>
    <row r="9" spans="1:10" x14ac:dyDescent="0.25">
      <c r="A9" s="2">
        <v>46083</v>
      </c>
      <c r="B9" s="12">
        <v>17356</v>
      </c>
      <c r="C9" s="13"/>
      <c r="D9" s="14"/>
      <c r="E9" s="11">
        <v>11187</v>
      </c>
      <c r="F9" s="11"/>
      <c r="G9" s="11"/>
      <c r="H9" s="9">
        <v>14738</v>
      </c>
      <c r="I9" s="9">
        <f>SUM(B9:H9)</f>
        <v>43281</v>
      </c>
    </row>
    <row r="10" spans="1:10" x14ac:dyDescent="0.25">
      <c r="A10" s="2">
        <v>46084</v>
      </c>
      <c r="B10" s="12">
        <v>21386</v>
      </c>
      <c r="C10" s="13"/>
      <c r="D10" s="14"/>
      <c r="E10" s="11">
        <v>12869</v>
      </c>
      <c r="F10" s="11"/>
      <c r="G10" s="11"/>
      <c r="H10" s="9">
        <v>12657</v>
      </c>
      <c r="I10" s="9">
        <f t="shared" ref="I10:I13" si="0">SUM(B10:H10)</f>
        <v>46912</v>
      </c>
    </row>
    <row r="11" spans="1:10" x14ac:dyDescent="0.25">
      <c r="A11" s="2">
        <v>46085</v>
      </c>
      <c r="B11" s="12">
        <v>8208</v>
      </c>
      <c r="C11" s="13"/>
      <c r="D11" s="14"/>
      <c r="E11" s="11">
        <v>14503</v>
      </c>
      <c r="F11" s="11"/>
      <c r="G11" s="11"/>
      <c r="H11" s="9">
        <v>22039</v>
      </c>
      <c r="I11" s="9">
        <f t="shared" si="0"/>
        <v>44750</v>
      </c>
    </row>
    <row r="12" spans="1:10" x14ac:dyDescent="0.25">
      <c r="A12" s="2">
        <v>46086</v>
      </c>
      <c r="B12" s="12">
        <v>6516</v>
      </c>
      <c r="C12" s="13"/>
      <c r="D12" s="14"/>
      <c r="E12" s="11">
        <v>11129</v>
      </c>
      <c r="F12" s="11"/>
      <c r="G12" s="11"/>
      <c r="H12" s="9">
        <v>11679</v>
      </c>
      <c r="I12" s="9">
        <f t="shared" si="0"/>
        <v>29324</v>
      </c>
    </row>
    <row r="13" spans="1:10" x14ac:dyDescent="0.25">
      <c r="A13" s="2">
        <v>46087</v>
      </c>
      <c r="B13" s="12">
        <v>7077</v>
      </c>
      <c r="C13" s="13"/>
      <c r="D13" s="14"/>
      <c r="E13" s="12">
        <v>11719</v>
      </c>
      <c r="F13" s="13"/>
      <c r="G13" s="14"/>
      <c r="H13" s="9">
        <v>11596</v>
      </c>
      <c r="I13" s="9">
        <f t="shared" si="0"/>
        <v>30392</v>
      </c>
      <c r="J13" t="s">
        <v>15</v>
      </c>
    </row>
    <row r="14" spans="1:10" x14ac:dyDescent="0.25">
      <c r="A14" s="2">
        <v>46088</v>
      </c>
      <c r="B14" s="12" t="s">
        <v>1</v>
      </c>
      <c r="C14" s="13"/>
      <c r="D14" s="13"/>
      <c r="E14" s="13"/>
      <c r="F14" s="13"/>
      <c r="G14" s="13"/>
      <c r="H14" s="13"/>
      <c r="I14" s="14"/>
    </row>
    <row r="15" spans="1:10" x14ac:dyDescent="0.25">
      <c r="A15" s="2">
        <v>46089</v>
      </c>
      <c r="B15" s="12" t="s">
        <v>2</v>
      </c>
      <c r="C15" s="13"/>
      <c r="D15" s="13"/>
      <c r="E15" s="13"/>
      <c r="F15" s="13"/>
      <c r="G15" s="13"/>
      <c r="H15" s="13"/>
      <c r="I15" s="14"/>
    </row>
    <row r="16" spans="1:10" x14ac:dyDescent="0.25">
      <c r="A16" s="2">
        <v>46090</v>
      </c>
      <c r="B16" s="12">
        <v>5465</v>
      </c>
      <c r="C16" s="13"/>
      <c r="D16" s="14"/>
      <c r="E16" s="11">
        <v>14346</v>
      </c>
      <c r="F16" s="11"/>
      <c r="G16" s="11"/>
      <c r="H16" s="9">
        <v>11029</v>
      </c>
      <c r="I16" s="9">
        <f>SUM(B16:H16)</f>
        <v>30840</v>
      </c>
    </row>
    <row r="17" spans="1:9" x14ac:dyDescent="0.25">
      <c r="A17" s="2">
        <v>46091</v>
      </c>
      <c r="B17" s="12">
        <v>4663</v>
      </c>
      <c r="C17" s="13"/>
      <c r="D17" s="14"/>
      <c r="E17" s="11">
        <v>12930</v>
      </c>
      <c r="F17" s="11"/>
      <c r="G17" s="11"/>
      <c r="H17" s="9">
        <v>10965</v>
      </c>
      <c r="I17" s="9">
        <f t="shared" ref="I17:I19" si="1">SUM(B17:H17)</f>
        <v>28558</v>
      </c>
    </row>
    <row r="18" spans="1:9" x14ac:dyDescent="0.25">
      <c r="A18" s="2">
        <v>46092</v>
      </c>
      <c r="B18" s="12">
        <v>12960</v>
      </c>
      <c r="C18" s="13"/>
      <c r="D18" s="14"/>
      <c r="E18" s="11">
        <v>14098</v>
      </c>
      <c r="F18" s="11"/>
      <c r="G18" s="11"/>
      <c r="H18" s="9">
        <v>10094</v>
      </c>
      <c r="I18" s="9">
        <f t="shared" si="1"/>
        <v>37152</v>
      </c>
    </row>
    <row r="19" spans="1:9" x14ac:dyDescent="0.25">
      <c r="A19" s="2">
        <v>46093</v>
      </c>
      <c r="B19" s="12">
        <v>5989</v>
      </c>
      <c r="C19" s="13"/>
      <c r="D19" s="14"/>
      <c r="E19" s="11">
        <v>13590</v>
      </c>
      <c r="F19" s="11"/>
      <c r="G19" s="11"/>
      <c r="H19" s="9">
        <v>21774</v>
      </c>
      <c r="I19" s="9">
        <f t="shared" si="1"/>
        <v>41353</v>
      </c>
    </row>
    <row r="20" spans="1:9" x14ac:dyDescent="0.25">
      <c r="A20" s="2">
        <v>46094</v>
      </c>
      <c r="B20" s="11"/>
      <c r="C20" s="11"/>
      <c r="D20" s="11"/>
      <c r="E20" s="11">
        <v>12044</v>
      </c>
      <c r="F20" s="11"/>
      <c r="G20" s="11"/>
      <c r="H20" s="9"/>
      <c r="I20" s="9">
        <f>SUM(B20:H20)</f>
        <v>12044</v>
      </c>
    </row>
    <row r="21" spans="1:9" x14ac:dyDescent="0.25">
      <c r="A21" s="2">
        <v>46095</v>
      </c>
      <c r="B21" s="12" t="s">
        <v>1</v>
      </c>
      <c r="C21" s="13"/>
      <c r="D21" s="13"/>
      <c r="E21" s="13"/>
      <c r="F21" s="13"/>
      <c r="G21" s="13"/>
      <c r="H21" s="13"/>
      <c r="I21" s="14"/>
    </row>
    <row r="22" spans="1:9" x14ac:dyDescent="0.25">
      <c r="A22" s="2">
        <v>46096</v>
      </c>
      <c r="B22" s="12" t="s">
        <v>2</v>
      </c>
      <c r="C22" s="13"/>
      <c r="D22" s="13"/>
      <c r="E22" s="13"/>
      <c r="F22" s="13"/>
      <c r="G22" s="13"/>
      <c r="H22" s="13"/>
      <c r="I22" s="14"/>
    </row>
    <row r="23" spans="1:9" x14ac:dyDescent="0.25">
      <c r="A23" s="2">
        <v>46097</v>
      </c>
      <c r="B23" s="12"/>
      <c r="C23" s="13"/>
      <c r="D23" s="14"/>
      <c r="E23" s="11">
        <v>18457</v>
      </c>
      <c r="F23" s="11"/>
      <c r="G23" s="11"/>
      <c r="H23" s="9">
        <v>28319</v>
      </c>
      <c r="I23" s="9">
        <f>SUM(B23:H23)</f>
        <v>46776</v>
      </c>
    </row>
    <row r="24" spans="1:9" x14ac:dyDescent="0.25">
      <c r="A24" s="2">
        <v>46098</v>
      </c>
      <c r="B24" s="12" t="s">
        <v>8</v>
      </c>
      <c r="C24" s="13"/>
      <c r="D24" s="13"/>
      <c r="E24" s="13"/>
      <c r="F24" s="13"/>
      <c r="G24" s="13"/>
      <c r="H24" s="13"/>
      <c r="I24" s="14"/>
    </row>
    <row r="25" spans="1:9" x14ac:dyDescent="0.25">
      <c r="A25" s="2">
        <v>46099</v>
      </c>
      <c r="B25" s="11">
        <v>8912</v>
      </c>
      <c r="C25" s="11"/>
      <c r="D25" s="11"/>
      <c r="E25" s="12">
        <v>15630</v>
      </c>
      <c r="F25" s="13"/>
      <c r="G25" s="14"/>
      <c r="H25" s="9"/>
      <c r="I25" s="9">
        <f t="shared" ref="I25" si="2">SUM(B25:H25)</f>
        <v>24542</v>
      </c>
    </row>
    <row r="26" spans="1:9" x14ac:dyDescent="0.25">
      <c r="A26" s="2">
        <v>46100</v>
      </c>
      <c r="B26" s="11"/>
      <c r="C26" s="11"/>
      <c r="D26" s="11"/>
      <c r="E26" s="12"/>
      <c r="F26" s="13"/>
      <c r="G26" s="14"/>
      <c r="H26" s="9">
        <v>17955</v>
      </c>
      <c r="I26" s="9">
        <f t="shared" ref="I26:I27" si="3">SUM(B26:H26)</f>
        <v>17955</v>
      </c>
    </row>
    <row r="27" spans="1:9" x14ac:dyDescent="0.25">
      <c r="A27" s="2">
        <v>46101</v>
      </c>
      <c r="B27" s="11"/>
      <c r="C27" s="11"/>
      <c r="D27" s="11"/>
      <c r="E27" s="12">
        <v>14087</v>
      </c>
      <c r="F27" s="13"/>
      <c r="G27" s="14"/>
      <c r="H27" s="9">
        <v>24876</v>
      </c>
      <c r="I27" s="9">
        <f t="shared" si="3"/>
        <v>38963</v>
      </c>
    </row>
    <row r="28" spans="1:9" x14ac:dyDescent="0.25">
      <c r="A28" s="2">
        <v>46102</v>
      </c>
      <c r="B28" s="12" t="s">
        <v>1</v>
      </c>
      <c r="C28" s="13"/>
      <c r="D28" s="13"/>
      <c r="E28" s="13"/>
      <c r="F28" s="13"/>
      <c r="G28" s="13"/>
      <c r="H28" s="13"/>
      <c r="I28" s="14"/>
    </row>
    <row r="29" spans="1:9" x14ac:dyDescent="0.25">
      <c r="A29" s="2">
        <v>46103</v>
      </c>
      <c r="B29" s="12" t="s">
        <v>2</v>
      </c>
      <c r="C29" s="13"/>
      <c r="D29" s="13"/>
      <c r="E29" s="13"/>
      <c r="F29" s="13"/>
      <c r="G29" s="13"/>
      <c r="H29" s="13"/>
      <c r="I29" s="14"/>
    </row>
    <row r="30" spans="1:9" x14ac:dyDescent="0.25">
      <c r="A30" s="2">
        <v>46104</v>
      </c>
      <c r="B30" s="11">
        <v>10517</v>
      </c>
      <c r="C30" s="11"/>
      <c r="D30" s="11"/>
      <c r="E30" s="12">
        <v>12380</v>
      </c>
      <c r="F30" s="13"/>
      <c r="G30" s="14"/>
      <c r="H30" s="9">
        <v>25272</v>
      </c>
      <c r="I30" s="4">
        <f>SUM(B30:H30)</f>
        <v>48169</v>
      </c>
    </row>
    <row r="31" spans="1:9" x14ac:dyDescent="0.25">
      <c r="A31" s="2">
        <v>46105</v>
      </c>
      <c r="B31" s="12">
        <v>6410</v>
      </c>
      <c r="C31" s="13"/>
      <c r="D31" s="14"/>
      <c r="E31" s="11">
        <v>15096</v>
      </c>
      <c r="F31" s="11"/>
      <c r="G31" s="11"/>
      <c r="H31" s="4">
        <v>26282</v>
      </c>
      <c r="I31" s="4">
        <f t="shared" ref="I31:I34" si="4">SUM(B31:H31)</f>
        <v>47788</v>
      </c>
    </row>
    <row r="32" spans="1:9" x14ac:dyDescent="0.25">
      <c r="A32" s="2">
        <v>46106</v>
      </c>
      <c r="B32" s="12"/>
      <c r="C32" s="13"/>
      <c r="D32" s="14"/>
      <c r="E32" s="11">
        <v>13356</v>
      </c>
      <c r="F32" s="11"/>
      <c r="G32" s="11"/>
      <c r="H32" s="4">
        <v>27286</v>
      </c>
      <c r="I32" s="4">
        <f t="shared" si="4"/>
        <v>40642</v>
      </c>
    </row>
    <row r="33" spans="1:9" x14ac:dyDescent="0.25">
      <c r="A33" s="2">
        <v>46107</v>
      </c>
      <c r="B33" s="11"/>
      <c r="C33" s="11"/>
      <c r="D33" s="11"/>
      <c r="E33" s="11">
        <v>11805</v>
      </c>
      <c r="F33" s="11"/>
      <c r="G33" s="11"/>
      <c r="H33" s="4"/>
      <c r="I33" s="4">
        <f t="shared" si="4"/>
        <v>11805</v>
      </c>
    </row>
    <row r="34" spans="1:9" x14ac:dyDescent="0.25">
      <c r="A34" s="2">
        <v>46108</v>
      </c>
      <c r="B34" s="11"/>
      <c r="C34" s="11"/>
      <c r="D34" s="11"/>
      <c r="E34" s="12">
        <v>10978</v>
      </c>
      <c r="F34" s="13"/>
      <c r="G34" s="14"/>
      <c r="H34" s="9">
        <v>17406</v>
      </c>
      <c r="I34" s="4">
        <f t="shared" si="4"/>
        <v>28384</v>
      </c>
    </row>
    <row r="35" spans="1:9" x14ac:dyDescent="0.25">
      <c r="A35" s="2">
        <v>46109</v>
      </c>
      <c r="B35" s="12" t="s">
        <v>1</v>
      </c>
      <c r="C35" s="13"/>
      <c r="D35" s="13"/>
      <c r="E35" s="13"/>
      <c r="F35" s="13"/>
      <c r="G35" s="13"/>
      <c r="H35" s="13"/>
      <c r="I35" s="14"/>
    </row>
    <row r="36" spans="1:9" x14ac:dyDescent="0.25">
      <c r="A36" s="2">
        <v>46110</v>
      </c>
      <c r="B36" s="12" t="s">
        <v>2</v>
      </c>
      <c r="C36" s="13"/>
      <c r="D36" s="13"/>
      <c r="E36" s="13"/>
      <c r="F36" s="13"/>
      <c r="G36" s="13"/>
      <c r="H36" s="13"/>
      <c r="I36" s="14"/>
    </row>
    <row r="37" spans="1:9" x14ac:dyDescent="0.25">
      <c r="A37" s="2">
        <v>46111</v>
      </c>
      <c r="B37" s="12"/>
      <c r="C37" s="13"/>
      <c r="D37" s="14"/>
      <c r="E37" s="11"/>
      <c r="F37" s="11"/>
      <c r="G37" s="11"/>
      <c r="H37" s="4">
        <v>37893</v>
      </c>
      <c r="I37" s="4">
        <f>SUM(B37:H37)</f>
        <v>37893</v>
      </c>
    </row>
    <row r="38" spans="1:9" x14ac:dyDescent="0.25">
      <c r="A38" s="2">
        <v>46112</v>
      </c>
      <c r="B38" s="12"/>
      <c r="C38" s="13"/>
      <c r="D38" s="14"/>
      <c r="E38" s="11">
        <v>9915</v>
      </c>
      <c r="F38" s="11"/>
      <c r="G38" s="11"/>
      <c r="H38" s="4"/>
      <c r="I38" s="4">
        <f t="shared" ref="I38" si="5">SUM(B38:H38)</f>
        <v>9915</v>
      </c>
    </row>
    <row r="39" spans="1:9" x14ac:dyDescent="0.25">
      <c r="A39" s="7" t="s">
        <v>5</v>
      </c>
      <c r="B39" s="22">
        <f>SUM(B9:D13,B16:D20,B26:D27,B30:D34)</f>
        <v>106547</v>
      </c>
      <c r="C39" s="23"/>
      <c r="D39" s="24"/>
      <c r="E39" s="31">
        <f>SUM(E9:G13,E16:G20,E26:G27,E30:G34)</f>
        <v>206117</v>
      </c>
      <c r="F39" s="32"/>
      <c r="G39" s="33"/>
      <c r="H39" s="10">
        <f>SUM(H9:H13,H16:H20,H26:H27,H30:H34)</f>
        <v>265648</v>
      </c>
      <c r="I39" s="8">
        <f>SUM(I9:I13,I16:I20,I26:I27,I30:I34,I37:I38)</f>
        <v>626120</v>
      </c>
    </row>
  </sheetData>
  <mergeCells count="61">
    <mergeCell ref="B35:I35"/>
    <mergeCell ref="B39:D39"/>
    <mergeCell ref="E39:G39"/>
    <mergeCell ref="B37:D37"/>
    <mergeCell ref="E37:G37"/>
    <mergeCell ref="B38:D38"/>
    <mergeCell ref="E38:G38"/>
    <mergeCell ref="B36:I36"/>
    <mergeCell ref="B32:D32"/>
    <mergeCell ref="E32:G32"/>
    <mergeCell ref="B33:D33"/>
    <mergeCell ref="E33:G33"/>
    <mergeCell ref="B34:D34"/>
    <mergeCell ref="E34:G34"/>
    <mergeCell ref="B28:I28"/>
    <mergeCell ref="B29:I29"/>
    <mergeCell ref="B30:D30"/>
    <mergeCell ref="E30:G30"/>
    <mergeCell ref="B31:D31"/>
    <mergeCell ref="E31:G31"/>
    <mergeCell ref="B24:I24"/>
    <mergeCell ref="B26:D26"/>
    <mergeCell ref="E26:G26"/>
    <mergeCell ref="B27:D27"/>
    <mergeCell ref="E27:G27"/>
    <mergeCell ref="B25:D25"/>
    <mergeCell ref="E25:G25"/>
    <mergeCell ref="B23:D23"/>
    <mergeCell ref="E23:G23"/>
    <mergeCell ref="B19:D19"/>
    <mergeCell ref="E19:G19"/>
    <mergeCell ref="B20:D20"/>
    <mergeCell ref="E20:G20"/>
    <mergeCell ref="B21:I21"/>
    <mergeCell ref="B22:I22"/>
    <mergeCell ref="B16:D16"/>
    <mergeCell ref="E16:G16"/>
    <mergeCell ref="B17:D17"/>
    <mergeCell ref="E17:G17"/>
    <mergeCell ref="B18:D18"/>
    <mergeCell ref="E18:G18"/>
    <mergeCell ref="B15:I15"/>
    <mergeCell ref="B8:I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I14"/>
    <mergeCell ref="A1:I4"/>
    <mergeCell ref="A5:I5"/>
    <mergeCell ref="A6:A7"/>
    <mergeCell ref="B6:D7"/>
    <mergeCell ref="E6:G7"/>
    <mergeCell ref="H6:H7"/>
    <mergeCell ref="I6:I7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7C53-C007-4363-8EBA-1F38C8C3C22D}">
  <dimension ref="A1:I38"/>
  <sheetViews>
    <sheetView workbookViewId="0">
      <selection activeCell="E8" sqref="E8:G8"/>
    </sheetView>
  </sheetViews>
  <sheetFormatPr defaultRowHeight="15" x14ac:dyDescent="0.25"/>
  <cols>
    <col min="4" max="4" width="6.5703125" customWidth="1"/>
    <col min="7" max="7" width="10.85546875" customWidth="1"/>
    <col min="8" max="8" width="22.5703125" customWidth="1"/>
    <col min="9" max="9" width="25.5703125" customWidth="1"/>
  </cols>
  <sheetData>
    <row r="1" spans="1:9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</row>
    <row r="6" spans="1:9" ht="17.25" customHeight="1" x14ac:dyDescent="0.25">
      <c r="A6" s="19" t="s">
        <v>0</v>
      </c>
      <c r="B6" s="20" t="s">
        <v>17</v>
      </c>
      <c r="C6" s="20"/>
      <c r="D6" s="20"/>
      <c r="E6" s="25" t="s">
        <v>19</v>
      </c>
      <c r="F6" s="26"/>
      <c r="G6" s="27"/>
      <c r="H6" s="34" t="s">
        <v>18</v>
      </c>
      <c r="I6" s="21" t="s">
        <v>4</v>
      </c>
    </row>
    <row r="7" spans="1:9" ht="17.25" customHeight="1" x14ac:dyDescent="0.25">
      <c r="A7" s="19"/>
      <c r="B7" s="20"/>
      <c r="C7" s="20"/>
      <c r="D7" s="20"/>
      <c r="E7" s="28"/>
      <c r="F7" s="29"/>
      <c r="G7" s="30"/>
      <c r="H7" s="35"/>
      <c r="I7" s="21"/>
    </row>
    <row r="8" spans="1:9" x14ac:dyDescent="0.25">
      <c r="A8" s="2">
        <v>46113</v>
      </c>
      <c r="B8" s="12"/>
      <c r="C8" s="13"/>
      <c r="D8" s="14"/>
      <c r="E8" s="11"/>
      <c r="F8" s="11"/>
      <c r="G8" s="11"/>
      <c r="H8" s="9"/>
      <c r="I8" s="9">
        <f>SUM(B8:H8)</f>
        <v>0</v>
      </c>
    </row>
    <row r="9" spans="1:9" x14ac:dyDescent="0.25">
      <c r="A9" s="2">
        <v>46114</v>
      </c>
      <c r="B9" s="12" t="s">
        <v>8</v>
      </c>
      <c r="C9" s="13"/>
      <c r="D9" s="13"/>
      <c r="E9" s="13"/>
      <c r="F9" s="13"/>
      <c r="G9" s="13"/>
      <c r="H9" s="13"/>
      <c r="I9" s="14"/>
    </row>
    <row r="10" spans="1:9" x14ac:dyDescent="0.25">
      <c r="A10" s="2">
        <v>46115</v>
      </c>
      <c r="B10" s="12" t="s">
        <v>8</v>
      </c>
      <c r="C10" s="13"/>
      <c r="D10" s="13"/>
      <c r="E10" s="13"/>
      <c r="F10" s="13"/>
      <c r="G10" s="13"/>
      <c r="H10" s="13"/>
      <c r="I10" s="14"/>
    </row>
    <row r="11" spans="1:9" x14ac:dyDescent="0.25">
      <c r="A11" s="2">
        <v>46116</v>
      </c>
      <c r="B11" s="12" t="s">
        <v>1</v>
      </c>
      <c r="C11" s="13"/>
      <c r="D11" s="13"/>
      <c r="E11" s="13"/>
      <c r="F11" s="13"/>
      <c r="G11" s="13"/>
      <c r="H11" s="13"/>
      <c r="I11" s="14"/>
    </row>
    <row r="12" spans="1:9" x14ac:dyDescent="0.25">
      <c r="A12" s="2">
        <v>46117</v>
      </c>
      <c r="B12" s="12" t="s">
        <v>2</v>
      </c>
      <c r="C12" s="13"/>
      <c r="D12" s="13"/>
      <c r="E12" s="13"/>
      <c r="F12" s="13"/>
      <c r="G12" s="13"/>
      <c r="H12" s="13"/>
      <c r="I12" s="14"/>
    </row>
    <row r="13" spans="1:9" x14ac:dyDescent="0.25">
      <c r="A13" s="2">
        <v>46118</v>
      </c>
      <c r="B13" s="12"/>
      <c r="C13" s="13"/>
      <c r="D13" s="14"/>
      <c r="E13" s="12">
        <v>7464</v>
      </c>
      <c r="F13" s="13"/>
      <c r="G13" s="14"/>
      <c r="H13" s="9"/>
      <c r="I13" s="9">
        <f>SUM(B13:H13)</f>
        <v>7464</v>
      </c>
    </row>
    <row r="14" spans="1:9" x14ac:dyDescent="0.25">
      <c r="A14" s="2">
        <v>46119</v>
      </c>
      <c r="B14" s="12">
        <v>14404</v>
      </c>
      <c r="C14" s="13"/>
      <c r="D14" s="14"/>
      <c r="E14" s="12">
        <v>14771</v>
      </c>
      <c r="F14" s="13"/>
      <c r="G14" s="14"/>
      <c r="H14" s="9"/>
      <c r="I14" s="9">
        <f t="shared" ref="I14:I17" si="0">SUM(B14:H14)</f>
        <v>29175</v>
      </c>
    </row>
    <row r="15" spans="1:9" x14ac:dyDescent="0.25">
      <c r="A15" s="2">
        <v>46120</v>
      </c>
      <c r="B15" s="12">
        <v>11816</v>
      </c>
      <c r="C15" s="13"/>
      <c r="D15" s="14"/>
      <c r="E15" s="12">
        <v>13991</v>
      </c>
      <c r="F15" s="13"/>
      <c r="G15" s="14"/>
      <c r="H15" s="9"/>
      <c r="I15" s="9">
        <f t="shared" si="0"/>
        <v>25807</v>
      </c>
    </row>
    <row r="16" spans="1:9" x14ac:dyDescent="0.25">
      <c r="A16" s="2">
        <v>46121</v>
      </c>
      <c r="B16" s="12">
        <v>13312</v>
      </c>
      <c r="C16" s="13"/>
      <c r="D16" s="14"/>
      <c r="E16" s="12">
        <v>13798</v>
      </c>
      <c r="F16" s="13"/>
      <c r="G16" s="14"/>
      <c r="H16" s="9"/>
      <c r="I16" s="9">
        <f t="shared" si="0"/>
        <v>27110</v>
      </c>
    </row>
    <row r="17" spans="1:9" x14ac:dyDescent="0.25">
      <c r="A17" s="2">
        <v>46122</v>
      </c>
      <c r="B17" s="12">
        <v>14506</v>
      </c>
      <c r="C17" s="13"/>
      <c r="D17" s="14"/>
      <c r="E17" s="12">
        <v>16687</v>
      </c>
      <c r="F17" s="13"/>
      <c r="G17" s="14"/>
      <c r="H17" s="9"/>
      <c r="I17" s="9">
        <f t="shared" si="0"/>
        <v>31193</v>
      </c>
    </row>
    <row r="18" spans="1:9" x14ac:dyDescent="0.25">
      <c r="A18" s="2">
        <v>46123</v>
      </c>
      <c r="B18" s="12" t="s">
        <v>1</v>
      </c>
      <c r="C18" s="13"/>
      <c r="D18" s="13"/>
      <c r="E18" s="13"/>
      <c r="F18" s="13"/>
      <c r="G18" s="13"/>
      <c r="H18" s="13"/>
      <c r="I18" s="14"/>
    </row>
    <row r="19" spans="1:9" x14ac:dyDescent="0.25">
      <c r="A19" s="2">
        <v>46124</v>
      </c>
      <c r="B19" s="12" t="s">
        <v>2</v>
      </c>
      <c r="C19" s="13"/>
      <c r="D19" s="13"/>
      <c r="E19" s="13"/>
      <c r="F19" s="13"/>
      <c r="G19" s="13"/>
      <c r="H19" s="13"/>
      <c r="I19" s="14"/>
    </row>
    <row r="20" spans="1:9" x14ac:dyDescent="0.25">
      <c r="A20" s="2">
        <v>46125</v>
      </c>
      <c r="B20" s="11">
        <v>14339</v>
      </c>
      <c r="C20" s="11"/>
      <c r="D20" s="11"/>
      <c r="E20" s="11">
        <v>15119</v>
      </c>
      <c r="F20" s="11"/>
      <c r="G20" s="11"/>
      <c r="H20" s="9"/>
      <c r="I20" s="9">
        <f>SUM(B20:H20)</f>
        <v>29458</v>
      </c>
    </row>
    <row r="21" spans="1:9" x14ac:dyDescent="0.25">
      <c r="A21" s="2">
        <v>46126</v>
      </c>
      <c r="B21" s="11">
        <v>12540</v>
      </c>
      <c r="C21" s="11"/>
      <c r="D21" s="11"/>
      <c r="E21" s="11">
        <v>11494</v>
      </c>
      <c r="F21" s="11"/>
      <c r="G21" s="11"/>
      <c r="H21" s="9"/>
      <c r="I21" s="9">
        <f t="shared" ref="I21:I24" si="1">SUM(B21:H21)</f>
        <v>24034</v>
      </c>
    </row>
    <row r="22" spans="1:9" x14ac:dyDescent="0.25">
      <c r="A22" s="2">
        <v>46127</v>
      </c>
      <c r="B22" s="11">
        <v>13653</v>
      </c>
      <c r="C22" s="11"/>
      <c r="D22" s="11"/>
      <c r="E22" s="11">
        <v>13046</v>
      </c>
      <c r="F22" s="11"/>
      <c r="G22" s="11"/>
      <c r="H22" s="9"/>
      <c r="I22" s="9">
        <f t="shared" si="1"/>
        <v>26699</v>
      </c>
    </row>
    <row r="23" spans="1:9" x14ac:dyDescent="0.25">
      <c r="A23" s="2">
        <v>46128</v>
      </c>
      <c r="B23" s="12">
        <v>11590</v>
      </c>
      <c r="C23" s="13"/>
      <c r="D23" s="14"/>
      <c r="E23" s="11">
        <v>13504</v>
      </c>
      <c r="F23" s="11"/>
      <c r="G23" s="11"/>
      <c r="H23" s="9"/>
      <c r="I23" s="9">
        <f t="shared" si="1"/>
        <v>25094</v>
      </c>
    </row>
    <row r="24" spans="1:9" x14ac:dyDescent="0.25">
      <c r="A24" s="2">
        <v>46129</v>
      </c>
      <c r="B24" s="11">
        <v>13547</v>
      </c>
      <c r="C24" s="11"/>
      <c r="D24" s="11"/>
      <c r="E24" s="12">
        <v>10428</v>
      </c>
      <c r="F24" s="13"/>
      <c r="G24" s="14"/>
      <c r="H24" s="9"/>
      <c r="I24" s="9">
        <f t="shared" si="1"/>
        <v>23975</v>
      </c>
    </row>
    <row r="25" spans="1:9" x14ac:dyDescent="0.25">
      <c r="A25" s="2">
        <v>46130</v>
      </c>
      <c r="B25" s="12" t="s">
        <v>1</v>
      </c>
      <c r="C25" s="13"/>
      <c r="D25" s="13"/>
      <c r="E25" s="13"/>
      <c r="F25" s="13"/>
      <c r="G25" s="13"/>
      <c r="H25" s="13"/>
      <c r="I25" s="14"/>
    </row>
    <row r="26" spans="1:9" x14ac:dyDescent="0.25">
      <c r="A26" s="2">
        <v>46131</v>
      </c>
      <c r="B26" s="12" t="s">
        <v>2</v>
      </c>
      <c r="C26" s="13"/>
      <c r="D26" s="13"/>
      <c r="E26" s="13"/>
      <c r="F26" s="13"/>
      <c r="G26" s="13"/>
      <c r="H26" s="13"/>
      <c r="I26" s="14"/>
    </row>
    <row r="27" spans="1:9" x14ac:dyDescent="0.25">
      <c r="A27" s="2">
        <v>46132</v>
      </c>
      <c r="B27" s="12" t="s">
        <v>11</v>
      </c>
      <c r="C27" s="13"/>
      <c r="D27" s="13"/>
      <c r="E27" s="13"/>
      <c r="F27" s="13"/>
      <c r="G27" s="13"/>
      <c r="H27" s="13"/>
      <c r="I27" s="14"/>
    </row>
    <row r="28" spans="1:9" x14ac:dyDescent="0.25">
      <c r="A28" s="2">
        <v>46133</v>
      </c>
      <c r="B28" s="12" t="s">
        <v>8</v>
      </c>
      <c r="C28" s="13"/>
      <c r="D28" s="13"/>
      <c r="E28" s="13"/>
      <c r="F28" s="13"/>
      <c r="G28" s="13"/>
      <c r="H28" s="13"/>
      <c r="I28" s="14"/>
    </row>
    <row r="29" spans="1:9" x14ac:dyDescent="0.25">
      <c r="A29" s="2">
        <v>46134</v>
      </c>
      <c r="B29" s="11">
        <v>12704</v>
      </c>
      <c r="C29" s="11"/>
      <c r="D29" s="11"/>
      <c r="E29" s="12">
        <v>13768</v>
      </c>
      <c r="F29" s="13"/>
      <c r="G29" s="14"/>
      <c r="H29" s="9"/>
      <c r="I29" s="9">
        <f t="shared" ref="I29:I31" si="2">SUM(B29:H29)</f>
        <v>26472</v>
      </c>
    </row>
    <row r="30" spans="1:9" x14ac:dyDescent="0.25">
      <c r="A30" s="2">
        <v>46135</v>
      </c>
      <c r="B30" s="11">
        <v>14260</v>
      </c>
      <c r="C30" s="11"/>
      <c r="D30" s="11"/>
      <c r="E30" s="12">
        <v>16070</v>
      </c>
      <c r="F30" s="13"/>
      <c r="G30" s="14"/>
      <c r="H30" s="9"/>
      <c r="I30" s="9">
        <f t="shared" si="2"/>
        <v>30330</v>
      </c>
    </row>
    <row r="31" spans="1:9" x14ac:dyDescent="0.25">
      <c r="A31" s="2">
        <v>46136</v>
      </c>
      <c r="B31" s="12"/>
      <c r="C31" s="13"/>
      <c r="D31" s="14"/>
      <c r="E31" s="11"/>
      <c r="F31" s="11"/>
      <c r="G31" s="11"/>
      <c r="H31" s="4"/>
      <c r="I31" s="9">
        <f t="shared" si="2"/>
        <v>0</v>
      </c>
    </row>
    <row r="32" spans="1:9" x14ac:dyDescent="0.25">
      <c r="A32" s="2">
        <v>46137</v>
      </c>
      <c r="B32" s="12" t="s">
        <v>1</v>
      </c>
      <c r="C32" s="13"/>
      <c r="D32" s="13"/>
      <c r="E32" s="13"/>
      <c r="F32" s="13"/>
      <c r="G32" s="13"/>
      <c r="H32" s="13"/>
      <c r="I32" s="14"/>
    </row>
    <row r="33" spans="1:9" x14ac:dyDescent="0.25">
      <c r="A33" s="2">
        <v>46138</v>
      </c>
      <c r="B33" s="12" t="s">
        <v>2</v>
      </c>
      <c r="C33" s="13"/>
      <c r="D33" s="13"/>
      <c r="E33" s="13"/>
      <c r="F33" s="13"/>
      <c r="G33" s="13"/>
      <c r="H33" s="13"/>
      <c r="I33" s="14"/>
    </row>
    <row r="34" spans="1:9" x14ac:dyDescent="0.25">
      <c r="A34" s="2">
        <v>46139</v>
      </c>
      <c r="B34" s="11">
        <v>7385</v>
      </c>
      <c r="C34" s="11"/>
      <c r="D34" s="11"/>
      <c r="E34" s="12">
        <v>6147</v>
      </c>
      <c r="F34" s="13"/>
      <c r="G34" s="14"/>
      <c r="H34" s="9"/>
      <c r="I34" s="4">
        <f>SUM(B34:H34)</f>
        <v>13532</v>
      </c>
    </row>
    <row r="35" spans="1:9" x14ac:dyDescent="0.25">
      <c r="A35" s="2">
        <v>46140</v>
      </c>
      <c r="B35" s="11">
        <v>9783</v>
      </c>
      <c r="C35" s="11"/>
      <c r="D35" s="11"/>
      <c r="E35" s="12">
        <v>12642</v>
      </c>
      <c r="F35" s="13"/>
      <c r="G35" s="14"/>
      <c r="H35" s="9"/>
      <c r="I35" s="4">
        <f t="shared" ref="I35:I37" si="3">SUM(B35:H35)</f>
        <v>22425</v>
      </c>
    </row>
    <row r="36" spans="1:9" x14ac:dyDescent="0.25">
      <c r="A36" s="2">
        <v>46141</v>
      </c>
      <c r="B36" s="11">
        <v>7961</v>
      </c>
      <c r="C36" s="11"/>
      <c r="D36" s="11"/>
      <c r="E36" s="12">
        <v>14713</v>
      </c>
      <c r="F36" s="13"/>
      <c r="G36" s="14"/>
      <c r="H36" s="9"/>
      <c r="I36" s="4">
        <f t="shared" si="3"/>
        <v>22674</v>
      </c>
    </row>
    <row r="37" spans="1:9" x14ac:dyDescent="0.25">
      <c r="A37" s="2">
        <v>46142</v>
      </c>
      <c r="B37" s="12">
        <v>14753</v>
      </c>
      <c r="C37" s="13"/>
      <c r="D37" s="14"/>
      <c r="E37" s="11">
        <v>14090</v>
      </c>
      <c r="F37" s="11"/>
      <c r="G37" s="11"/>
      <c r="H37" s="4"/>
      <c r="I37" s="4">
        <f t="shared" si="3"/>
        <v>28843</v>
      </c>
    </row>
    <row r="38" spans="1:9" x14ac:dyDescent="0.25">
      <c r="A38" s="7" t="s">
        <v>5</v>
      </c>
      <c r="B38" s="22">
        <f>SUM(B9:D13,B16:D20,B26:D27,B30:D34)</f>
        <v>63802</v>
      </c>
      <c r="C38" s="23"/>
      <c r="D38" s="24"/>
      <c r="E38" s="31">
        <f>SUM(E9:G13,E16:G20,E26:G27,E30:G34)</f>
        <v>75285</v>
      </c>
      <c r="F38" s="32"/>
      <c r="G38" s="33"/>
      <c r="H38" s="10">
        <f>SUM(H9:H13,H16:H20,H26:H27,H30:H34)</f>
        <v>0</v>
      </c>
      <c r="I38" s="8">
        <f>SUM(I8,I13:I17,I20:I24,I27:I31,I34:I37)</f>
        <v>394285</v>
      </c>
    </row>
  </sheetData>
  <mergeCells count="57">
    <mergeCell ref="B26:I26"/>
    <mergeCell ref="B29:D29"/>
    <mergeCell ref="E29:G29"/>
    <mergeCell ref="B27:I27"/>
    <mergeCell ref="B28:I28"/>
    <mergeCell ref="B23:D23"/>
    <mergeCell ref="E23:G23"/>
    <mergeCell ref="B24:D24"/>
    <mergeCell ref="E24:G24"/>
    <mergeCell ref="B25:I25"/>
    <mergeCell ref="B8:D8"/>
    <mergeCell ref="E8:G8"/>
    <mergeCell ref="B9:I9"/>
    <mergeCell ref="B10:I10"/>
    <mergeCell ref="B34:D34"/>
    <mergeCell ref="E34:G34"/>
    <mergeCell ref="B31:D31"/>
    <mergeCell ref="E31:G31"/>
    <mergeCell ref="B18:I18"/>
    <mergeCell ref="B19:I19"/>
    <mergeCell ref="B21:D21"/>
    <mergeCell ref="E21:G21"/>
    <mergeCell ref="B22:D22"/>
    <mergeCell ref="E22:G22"/>
    <mergeCell ref="B20:D20"/>
    <mergeCell ref="E20:G20"/>
    <mergeCell ref="B33:I33"/>
    <mergeCell ref="B30:D30"/>
    <mergeCell ref="E30:G30"/>
    <mergeCell ref="B32:I32"/>
    <mergeCell ref="B38:D38"/>
    <mergeCell ref="E38:G38"/>
    <mergeCell ref="B37:D37"/>
    <mergeCell ref="E37:G37"/>
    <mergeCell ref="B35:D35"/>
    <mergeCell ref="E35:G35"/>
    <mergeCell ref="B36:D36"/>
    <mergeCell ref="E36:G36"/>
    <mergeCell ref="E16:G16"/>
    <mergeCell ref="B17:D17"/>
    <mergeCell ref="E17:G17"/>
    <mergeCell ref="B13:D13"/>
    <mergeCell ref="E13:G13"/>
    <mergeCell ref="E15:G15"/>
    <mergeCell ref="B16:D16"/>
    <mergeCell ref="B12:I12"/>
    <mergeCell ref="B14:D14"/>
    <mergeCell ref="E14:G14"/>
    <mergeCell ref="B15:D15"/>
    <mergeCell ref="B11:I11"/>
    <mergeCell ref="A1:I4"/>
    <mergeCell ref="A5:I5"/>
    <mergeCell ref="A6:A7"/>
    <mergeCell ref="B6:D7"/>
    <mergeCell ref="E6:G7"/>
    <mergeCell ref="H6:H7"/>
    <mergeCell ref="I6:I7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48F1-8FD6-4963-AD02-A90BF6CF8BC2}">
  <dimension ref="A1:I39"/>
  <sheetViews>
    <sheetView tabSelected="1" workbookViewId="0">
      <selection activeCell="B8" sqref="B8:I8"/>
    </sheetView>
  </sheetViews>
  <sheetFormatPr defaultRowHeight="15" x14ac:dyDescent="0.25"/>
  <cols>
    <col min="4" max="4" width="6.5703125" customWidth="1"/>
    <col min="7" max="7" width="10.85546875" customWidth="1"/>
    <col min="8" max="8" width="22.5703125" customWidth="1"/>
    <col min="9" max="9" width="25.5703125" customWidth="1"/>
  </cols>
  <sheetData>
    <row r="1" spans="1:9" x14ac:dyDescent="0.25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ht="26.25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</row>
    <row r="6" spans="1:9" ht="17.25" customHeight="1" x14ac:dyDescent="0.25">
      <c r="A6" s="19" t="s">
        <v>0</v>
      </c>
      <c r="B6" s="20" t="s">
        <v>17</v>
      </c>
      <c r="C6" s="20"/>
      <c r="D6" s="20"/>
      <c r="E6" s="25" t="s">
        <v>19</v>
      </c>
      <c r="F6" s="26"/>
      <c r="G6" s="27"/>
      <c r="H6" s="34" t="s">
        <v>18</v>
      </c>
      <c r="I6" s="21" t="s">
        <v>4</v>
      </c>
    </row>
    <row r="7" spans="1:9" ht="17.25" customHeight="1" x14ac:dyDescent="0.25">
      <c r="A7" s="19"/>
      <c r="B7" s="20"/>
      <c r="C7" s="20"/>
      <c r="D7" s="20"/>
      <c r="E7" s="28"/>
      <c r="F7" s="29"/>
      <c r="G7" s="30"/>
      <c r="H7" s="35"/>
      <c r="I7" s="21"/>
    </row>
    <row r="8" spans="1:9" x14ac:dyDescent="0.25">
      <c r="A8" s="2">
        <v>46143</v>
      </c>
      <c r="B8" s="12" t="s">
        <v>8</v>
      </c>
      <c r="C8" s="13"/>
      <c r="D8" s="13"/>
      <c r="E8" s="13"/>
      <c r="F8" s="13"/>
      <c r="G8" s="13"/>
      <c r="H8" s="13"/>
      <c r="I8" s="14"/>
    </row>
    <row r="9" spans="1:9" x14ac:dyDescent="0.25">
      <c r="A9" s="2">
        <v>46144</v>
      </c>
      <c r="B9" s="12" t="s">
        <v>1</v>
      </c>
      <c r="C9" s="13"/>
      <c r="D9" s="13"/>
      <c r="E9" s="13"/>
      <c r="F9" s="13"/>
      <c r="G9" s="13"/>
      <c r="H9" s="13"/>
      <c r="I9" s="14"/>
    </row>
    <row r="10" spans="1:9" x14ac:dyDescent="0.25">
      <c r="A10" s="2">
        <v>46145</v>
      </c>
      <c r="B10" s="12" t="s">
        <v>2</v>
      </c>
      <c r="C10" s="13"/>
      <c r="D10" s="13"/>
      <c r="E10" s="13"/>
      <c r="F10" s="13"/>
      <c r="G10" s="13"/>
      <c r="H10" s="13"/>
      <c r="I10" s="14"/>
    </row>
    <row r="11" spans="1:9" x14ac:dyDescent="0.25">
      <c r="A11" s="2">
        <v>46146</v>
      </c>
      <c r="B11" s="12">
        <v>15465</v>
      </c>
      <c r="C11" s="13"/>
      <c r="D11" s="14"/>
      <c r="E11" s="12">
        <v>13311</v>
      </c>
      <c r="F11" s="13"/>
      <c r="G11" s="14"/>
      <c r="H11" s="9"/>
      <c r="I11" s="9">
        <f>SUM(B11:H11)</f>
        <v>28776</v>
      </c>
    </row>
    <row r="12" spans="1:9" x14ac:dyDescent="0.25">
      <c r="A12" s="2">
        <v>46147</v>
      </c>
      <c r="B12" s="12">
        <v>18531</v>
      </c>
      <c r="C12" s="13"/>
      <c r="D12" s="14"/>
      <c r="E12" s="12">
        <v>12374</v>
      </c>
      <c r="F12" s="13"/>
      <c r="G12" s="14"/>
      <c r="H12" s="9"/>
      <c r="I12" s="9">
        <f t="shared" ref="I12:I15" si="0">SUM(B12:H12)</f>
        <v>30905</v>
      </c>
    </row>
    <row r="13" spans="1:9" x14ac:dyDescent="0.25">
      <c r="A13" s="2">
        <v>46148</v>
      </c>
      <c r="B13" s="12">
        <v>15054</v>
      </c>
      <c r="C13" s="13"/>
      <c r="D13" s="14"/>
      <c r="E13" s="12">
        <v>16081</v>
      </c>
      <c r="F13" s="13"/>
      <c r="G13" s="14"/>
      <c r="H13" s="9"/>
      <c r="I13" s="9">
        <f t="shared" si="0"/>
        <v>31135</v>
      </c>
    </row>
    <row r="14" spans="1:9" x14ac:dyDescent="0.25">
      <c r="A14" s="2">
        <v>46149</v>
      </c>
      <c r="B14" s="12">
        <v>11547</v>
      </c>
      <c r="C14" s="13"/>
      <c r="D14" s="14"/>
      <c r="E14" s="12">
        <v>11213</v>
      </c>
      <c r="F14" s="13"/>
      <c r="G14" s="14"/>
      <c r="H14" s="9"/>
      <c r="I14" s="9">
        <f t="shared" si="0"/>
        <v>22760</v>
      </c>
    </row>
    <row r="15" spans="1:9" x14ac:dyDescent="0.25">
      <c r="A15" s="2">
        <v>46150</v>
      </c>
      <c r="B15" s="12"/>
      <c r="C15" s="13"/>
      <c r="D15" s="14"/>
      <c r="E15" s="12"/>
      <c r="F15" s="13"/>
      <c r="G15" s="14"/>
      <c r="H15" s="9"/>
      <c r="I15" s="9">
        <f t="shared" si="0"/>
        <v>0</v>
      </c>
    </row>
    <row r="16" spans="1:9" x14ac:dyDescent="0.25">
      <c r="A16" s="2">
        <v>46151</v>
      </c>
      <c r="B16" s="12" t="s">
        <v>1</v>
      </c>
      <c r="C16" s="13"/>
      <c r="D16" s="13"/>
      <c r="E16" s="13"/>
      <c r="F16" s="13"/>
      <c r="G16" s="13"/>
      <c r="H16" s="13"/>
      <c r="I16" s="14"/>
    </row>
    <row r="17" spans="1:9" x14ac:dyDescent="0.25">
      <c r="A17" s="2">
        <v>46152</v>
      </c>
      <c r="B17" s="12" t="s">
        <v>2</v>
      </c>
      <c r="C17" s="13"/>
      <c r="D17" s="13"/>
      <c r="E17" s="13"/>
      <c r="F17" s="13"/>
      <c r="G17" s="13"/>
      <c r="H17" s="13"/>
      <c r="I17" s="14"/>
    </row>
    <row r="18" spans="1:9" x14ac:dyDescent="0.25">
      <c r="A18" s="2">
        <v>46153</v>
      </c>
      <c r="B18" s="11"/>
      <c r="C18" s="11"/>
      <c r="D18" s="11"/>
      <c r="E18" s="11"/>
      <c r="F18" s="11"/>
      <c r="G18" s="11"/>
      <c r="H18" s="9"/>
      <c r="I18" s="9">
        <f>SUM(B18:H18)</f>
        <v>0</v>
      </c>
    </row>
    <row r="19" spans="1:9" x14ac:dyDescent="0.25">
      <c r="A19" s="2">
        <v>46154</v>
      </c>
      <c r="B19" s="11"/>
      <c r="C19" s="11"/>
      <c r="D19" s="11"/>
      <c r="E19" s="11"/>
      <c r="F19" s="11"/>
      <c r="G19" s="11"/>
      <c r="H19" s="9"/>
      <c r="I19" s="9">
        <f>SUM(B19:H19)</f>
        <v>0</v>
      </c>
    </row>
    <row r="20" spans="1:9" x14ac:dyDescent="0.25">
      <c r="A20" s="2">
        <v>46155</v>
      </c>
      <c r="B20" s="11"/>
      <c r="C20" s="11"/>
      <c r="D20" s="11"/>
      <c r="E20" s="11"/>
      <c r="F20" s="11"/>
      <c r="G20" s="11"/>
      <c r="H20" s="9"/>
      <c r="I20" s="9">
        <f>SUM(B20:H20)</f>
        <v>0</v>
      </c>
    </row>
    <row r="21" spans="1:9" x14ac:dyDescent="0.25">
      <c r="A21" s="2">
        <v>46156</v>
      </c>
      <c r="B21" s="11"/>
      <c r="C21" s="11"/>
      <c r="D21" s="11"/>
      <c r="E21" s="11"/>
      <c r="F21" s="11"/>
      <c r="G21" s="11"/>
      <c r="H21" s="9"/>
      <c r="I21" s="9">
        <f>SUM(B21:H21)</f>
        <v>0</v>
      </c>
    </row>
    <row r="22" spans="1:9" x14ac:dyDescent="0.25">
      <c r="A22" s="2">
        <v>46157</v>
      </c>
      <c r="B22" s="11"/>
      <c r="C22" s="11"/>
      <c r="D22" s="11"/>
      <c r="E22" s="11"/>
      <c r="F22" s="11"/>
      <c r="G22" s="11"/>
      <c r="H22" s="9"/>
      <c r="I22" s="9">
        <f t="shared" ref="I22" si="1">SUM(B22:H22)</f>
        <v>0</v>
      </c>
    </row>
    <row r="23" spans="1:9" x14ac:dyDescent="0.25">
      <c r="A23" s="2">
        <v>46158</v>
      </c>
      <c r="B23" s="12" t="s">
        <v>1</v>
      </c>
      <c r="C23" s="13"/>
      <c r="D23" s="13"/>
      <c r="E23" s="13"/>
      <c r="F23" s="13"/>
      <c r="G23" s="13"/>
      <c r="H23" s="13"/>
      <c r="I23" s="14"/>
    </row>
    <row r="24" spans="1:9" x14ac:dyDescent="0.25">
      <c r="A24" s="2">
        <v>46159</v>
      </c>
      <c r="B24" s="12" t="s">
        <v>2</v>
      </c>
      <c r="C24" s="13"/>
      <c r="D24" s="13"/>
      <c r="E24" s="13"/>
      <c r="F24" s="13"/>
      <c r="G24" s="13"/>
      <c r="H24" s="13"/>
      <c r="I24" s="14"/>
    </row>
    <row r="25" spans="1:9" x14ac:dyDescent="0.25">
      <c r="A25" s="2">
        <v>46160</v>
      </c>
      <c r="B25" s="11"/>
      <c r="C25" s="11"/>
      <c r="D25" s="11"/>
      <c r="E25" s="12"/>
      <c r="F25" s="13"/>
      <c r="G25" s="14"/>
      <c r="H25" s="9"/>
      <c r="I25" s="9">
        <f>SUM(B25:H25)</f>
        <v>0</v>
      </c>
    </row>
    <row r="26" spans="1:9" x14ac:dyDescent="0.25">
      <c r="A26" s="2">
        <v>46161</v>
      </c>
      <c r="B26" s="11"/>
      <c r="C26" s="11"/>
      <c r="D26" s="11"/>
      <c r="E26" s="12"/>
      <c r="F26" s="13"/>
      <c r="G26" s="14"/>
      <c r="H26" s="9"/>
      <c r="I26" s="9">
        <f t="shared" ref="I26:I29" si="2">SUM(B26:H26)</f>
        <v>0</v>
      </c>
    </row>
    <row r="27" spans="1:9" x14ac:dyDescent="0.25">
      <c r="A27" s="2">
        <v>46162</v>
      </c>
      <c r="B27" s="12"/>
      <c r="C27" s="13"/>
      <c r="D27" s="14"/>
      <c r="E27" s="11"/>
      <c r="F27" s="11"/>
      <c r="G27" s="11"/>
      <c r="H27" s="4"/>
      <c r="I27" s="9">
        <f t="shared" si="2"/>
        <v>0</v>
      </c>
    </row>
    <row r="28" spans="1:9" x14ac:dyDescent="0.25">
      <c r="A28" s="2">
        <v>46163</v>
      </c>
      <c r="B28" s="12"/>
      <c r="C28" s="13"/>
      <c r="D28" s="14"/>
      <c r="E28" s="11"/>
      <c r="F28" s="11"/>
      <c r="G28" s="11"/>
      <c r="H28" s="4"/>
      <c r="I28" s="9">
        <f t="shared" si="2"/>
        <v>0</v>
      </c>
    </row>
    <row r="29" spans="1:9" x14ac:dyDescent="0.25">
      <c r="A29" s="2">
        <v>46164</v>
      </c>
      <c r="B29" s="11"/>
      <c r="C29" s="11"/>
      <c r="D29" s="11"/>
      <c r="E29" s="12"/>
      <c r="F29" s="13"/>
      <c r="G29" s="14"/>
      <c r="H29" s="9"/>
      <c r="I29" s="9">
        <f t="shared" si="2"/>
        <v>0</v>
      </c>
    </row>
    <row r="30" spans="1:9" x14ac:dyDescent="0.25">
      <c r="A30" s="2">
        <v>46165</v>
      </c>
      <c r="B30" s="12" t="s">
        <v>1</v>
      </c>
      <c r="C30" s="13"/>
      <c r="D30" s="13"/>
      <c r="E30" s="13"/>
      <c r="F30" s="13"/>
      <c r="G30" s="13"/>
      <c r="H30" s="13"/>
      <c r="I30" s="14"/>
    </row>
    <row r="31" spans="1:9" x14ac:dyDescent="0.25">
      <c r="A31" s="2">
        <v>46166</v>
      </c>
      <c r="B31" s="12" t="s">
        <v>2</v>
      </c>
      <c r="C31" s="13"/>
      <c r="D31" s="13"/>
      <c r="E31" s="13"/>
      <c r="F31" s="13"/>
      <c r="G31" s="13"/>
      <c r="H31" s="13"/>
      <c r="I31" s="14"/>
    </row>
    <row r="32" spans="1:9" x14ac:dyDescent="0.25">
      <c r="A32" s="2">
        <v>46167</v>
      </c>
      <c r="B32" s="11"/>
      <c r="C32" s="11"/>
      <c r="D32" s="11"/>
      <c r="E32" s="12"/>
      <c r="F32" s="13"/>
      <c r="G32" s="14"/>
      <c r="H32" s="9"/>
      <c r="I32" s="4">
        <f>SUM(B32:H32)</f>
        <v>0</v>
      </c>
    </row>
    <row r="33" spans="1:9" x14ac:dyDescent="0.25">
      <c r="A33" s="2">
        <v>46168</v>
      </c>
      <c r="B33" s="11"/>
      <c r="C33" s="11"/>
      <c r="D33" s="11"/>
      <c r="E33" s="12"/>
      <c r="F33" s="13"/>
      <c r="G33" s="14"/>
      <c r="H33" s="9"/>
      <c r="I33" s="4">
        <f t="shared" ref="I33:I36" si="3">SUM(B33:H33)</f>
        <v>0</v>
      </c>
    </row>
    <row r="34" spans="1:9" x14ac:dyDescent="0.25">
      <c r="A34" s="2">
        <v>46169</v>
      </c>
      <c r="B34" s="11"/>
      <c r="C34" s="11"/>
      <c r="D34" s="11"/>
      <c r="E34" s="12"/>
      <c r="F34" s="13"/>
      <c r="G34" s="14"/>
      <c r="H34" s="9"/>
      <c r="I34" s="4">
        <f t="shared" si="3"/>
        <v>0</v>
      </c>
    </row>
    <row r="35" spans="1:9" x14ac:dyDescent="0.25">
      <c r="A35" s="2">
        <v>46170</v>
      </c>
      <c r="B35" s="11"/>
      <c r="C35" s="11"/>
      <c r="D35" s="11"/>
      <c r="E35" s="12"/>
      <c r="F35" s="13"/>
      <c r="G35" s="14"/>
      <c r="H35" s="9"/>
      <c r="I35" s="4">
        <f t="shared" si="3"/>
        <v>0</v>
      </c>
    </row>
    <row r="36" spans="1:9" x14ac:dyDescent="0.25">
      <c r="A36" s="2">
        <v>46171</v>
      </c>
      <c r="B36" s="11"/>
      <c r="C36" s="11"/>
      <c r="D36" s="11"/>
      <c r="E36" s="12"/>
      <c r="F36" s="13"/>
      <c r="G36" s="14"/>
      <c r="H36" s="9"/>
      <c r="I36" s="4">
        <f t="shared" si="3"/>
        <v>0</v>
      </c>
    </row>
    <row r="37" spans="1:9" x14ac:dyDescent="0.25">
      <c r="A37" s="2">
        <v>46172</v>
      </c>
      <c r="B37" s="12" t="s">
        <v>1</v>
      </c>
      <c r="C37" s="13"/>
      <c r="D37" s="13"/>
      <c r="E37" s="13"/>
      <c r="F37" s="13"/>
      <c r="G37" s="13"/>
      <c r="H37" s="13"/>
      <c r="I37" s="14"/>
    </row>
    <row r="38" spans="1:9" x14ac:dyDescent="0.25">
      <c r="A38" s="2">
        <v>46173</v>
      </c>
      <c r="B38" s="12" t="s">
        <v>2</v>
      </c>
      <c r="C38" s="13"/>
      <c r="D38" s="13"/>
      <c r="E38" s="13"/>
      <c r="F38" s="13"/>
      <c r="G38" s="13"/>
      <c r="H38" s="13"/>
      <c r="I38" s="14"/>
    </row>
    <row r="39" spans="1:9" x14ac:dyDescent="0.25">
      <c r="A39" s="7" t="s">
        <v>5</v>
      </c>
      <c r="B39" s="22">
        <f>SUM(B9:D15,B17:D22,B25:D29,B32:D36)</f>
        <v>60597</v>
      </c>
      <c r="C39" s="23"/>
      <c r="D39" s="24"/>
      <c r="E39" s="31">
        <f>SUM(E11:G15,E18:G22,E25:G29,E32:G36)</f>
        <v>52979</v>
      </c>
      <c r="F39" s="32"/>
      <c r="G39" s="33"/>
      <c r="H39" s="10">
        <f>SUM(H11:H15,H18:H22,H25:H29,H32:H36)</f>
        <v>0</v>
      </c>
      <c r="I39" s="8">
        <f>SUM(I11:I15,I18:I22,I25:I29,I32:I36)</f>
        <v>113576</v>
      </c>
    </row>
  </sheetData>
  <mergeCells count="60">
    <mergeCell ref="B9:I9"/>
    <mergeCell ref="B10:I10"/>
    <mergeCell ref="A1:I4"/>
    <mergeCell ref="A5:I5"/>
    <mergeCell ref="A6:A7"/>
    <mergeCell ref="B6:D7"/>
    <mergeCell ref="E6:G7"/>
    <mergeCell ref="H6:H7"/>
    <mergeCell ref="I6:I7"/>
    <mergeCell ref="B16:I16"/>
    <mergeCell ref="B17:I17"/>
    <mergeCell ref="E19:G19"/>
    <mergeCell ref="B13:D13"/>
    <mergeCell ref="E13:G13"/>
    <mergeCell ref="B14:D14"/>
    <mergeCell ref="E14:G14"/>
    <mergeCell ref="B15:D15"/>
    <mergeCell ref="E15:G15"/>
    <mergeCell ref="B20:D20"/>
    <mergeCell ref="E20:G20"/>
    <mergeCell ref="B21:D21"/>
    <mergeCell ref="E21:G21"/>
    <mergeCell ref="B22:D22"/>
    <mergeCell ref="E22:G22"/>
    <mergeCell ref="B23:I23"/>
    <mergeCell ref="B24:I24"/>
    <mergeCell ref="B25:D25"/>
    <mergeCell ref="E25:G25"/>
    <mergeCell ref="B26:D26"/>
    <mergeCell ref="E26:G26"/>
    <mergeCell ref="B29:D29"/>
    <mergeCell ref="E29:G29"/>
    <mergeCell ref="B27:D27"/>
    <mergeCell ref="E27:G27"/>
    <mergeCell ref="B28:D28"/>
    <mergeCell ref="E28:G28"/>
    <mergeCell ref="B39:D39"/>
    <mergeCell ref="E39:G39"/>
    <mergeCell ref="B8:I8"/>
    <mergeCell ref="B11:D11"/>
    <mergeCell ref="E11:G11"/>
    <mergeCell ref="B12:D12"/>
    <mergeCell ref="E12:G12"/>
    <mergeCell ref="B18:D18"/>
    <mergeCell ref="E18:G18"/>
    <mergeCell ref="B19:D19"/>
    <mergeCell ref="B35:D35"/>
    <mergeCell ref="E35:G35"/>
    <mergeCell ref="B36:D36"/>
    <mergeCell ref="E36:G36"/>
    <mergeCell ref="B37:I37"/>
    <mergeCell ref="B34:D34"/>
    <mergeCell ref="B38:I38"/>
    <mergeCell ref="B30:I30"/>
    <mergeCell ref="B31:I31"/>
    <mergeCell ref="B32:D32"/>
    <mergeCell ref="E32:G32"/>
    <mergeCell ref="B33:D33"/>
    <mergeCell ref="E33:G33"/>
    <mergeCell ref="E34:G3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JUNHO 2025</vt:lpstr>
      <vt:lpstr>JULHO 2025</vt:lpstr>
      <vt:lpstr>AGOSTO 2025</vt:lpstr>
      <vt:lpstr>SETEMBRO 2025</vt:lpstr>
      <vt:lpstr>OUTUBRO 2025</vt:lpstr>
      <vt:lpstr>NOVEMBRO 2025</vt:lpstr>
      <vt:lpstr>DEZEMBRO 2025</vt:lpstr>
      <vt:lpstr>JANEIRO 2026</vt:lpstr>
      <vt:lpstr>FEVEREIRO 2026</vt:lpstr>
      <vt:lpstr>MARÇO 2026</vt:lpstr>
      <vt:lpstr>ABRIL 2026</vt:lpstr>
      <vt:lpstr>MAIO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 Arc</dc:creator>
  <dc:description/>
  <cp:lastModifiedBy>zdoc</cp:lastModifiedBy>
  <cp:revision>5</cp:revision>
  <dcterms:created xsi:type="dcterms:W3CDTF">2023-09-26T17:20:48Z</dcterms:created>
  <dcterms:modified xsi:type="dcterms:W3CDTF">2026-05-13T16:34:38Z</dcterms:modified>
  <dc:language>pt-BR</dc:language>
</cp:coreProperties>
</file>